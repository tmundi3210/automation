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422180e43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ing_Model" sheetId="1" r:id="R9843ef49b1f04c9d"/>
    <x:sheet xmlns:r="http://schemas.openxmlformats.org/officeDocument/2006/relationships" name="People_100" sheetId="2" r:id="R4c87eeca8a024431"/>
    <x:sheet xmlns:r="http://schemas.openxmlformats.org/officeDocument/2006/relationships" name="Channels" sheetId="3" r:id="Rf1226e7d2ddb487b"/>
    <x:sheet xmlns:r="http://schemas.openxmlformats.org/officeDocument/2006/relationships" name="X_Playbook" sheetId="4" r:id="R136f540f152d4c55"/>
    <x:sheet xmlns:r="http://schemas.openxmlformats.org/officeDocument/2006/relationships" name="Source_Seeds" sheetId="5" r:id="R4afb835f30884b31"/>
    <x:sheet xmlns:r="http://schemas.openxmlformats.org/officeDocument/2006/relationships" name="START_HERE" sheetId="6" r:id="R356a5438ac85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"/>
    <x:numFmt numFmtId="203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sz val="10"/>
      <x:color rgb="FF0369A1"/>
      <x:name val="Carlito"/>
    </x:font>
    <x:font>
      <x:b/>
      <x:sz val="11"/>
      <x:color rgb="FF0F172A"/>
      <x:name val="Carlito"/>
    </x:font>
    <x:font>
      <x:b/>
      <x:sz val="10"/>
      <x:color rgb="FF0F172A"/>
      <x:name val="Carlito"/>
    </x:font>
    <x:font>
      <x:b/>
      <x:sz val="12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left"/>
    </x:xf>
    <x:xf numFmtId="0" fontId="7" fillId="4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b141bfe0b4967" /><Relationship Type="http://schemas.openxmlformats.org/officeDocument/2006/relationships/theme" Target="/xl/theme/theme1.xml" Id="R52e432bef811401f" /><Relationship Type="http://schemas.openxmlformats.org/officeDocument/2006/relationships/sharedStrings" Target="/xl/sharedStrings.xml" Id="Raa9cd1b5daa9406b" /><Relationship Type="http://schemas.openxmlformats.org/officeDocument/2006/relationships/worksheet" Target="/xl/worksheets/sheet1.xml" Id="R9843ef49b1f04c9d" /><Relationship Type="http://schemas.openxmlformats.org/officeDocument/2006/relationships/worksheet" Target="/xl/worksheets/sheet2.xml" Id="R4c87eeca8a024431" /><Relationship Type="http://schemas.openxmlformats.org/officeDocument/2006/relationships/worksheet" Target="/xl/worksheets/sheet3.xml" Id="Rf1226e7d2ddb487b" /><Relationship Type="http://schemas.openxmlformats.org/officeDocument/2006/relationships/worksheet" Target="/xl/worksheets/sheet4.xml" Id="R136f540f152d4c55" /><Relationship Type="http://schemas.openxmlformats.org/officeDocument/2006/relationships/worksheet" Target="/xl/worksheets/sheet5.xml" Id="R4afb835f30884b31" /><Relationship Type="http://schemas.openxmlformats.org/officeDocument/2006/relationships/worksheet" Target="/xl/worksheets/sheet6.xml" Id="R356a5438ac8547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7d93c7c9fb4d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People by signal group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People</c:v>
          </c:tx>
          <c:cat>
            <c:strRef>
              <c:f>'START_HERE'!$A$15:$A$23</c:f>
              <c:strCache>
                <c:ptCount val="0"/>
              </c:strCache>
            </c:strRef>
          </c:cat>
          <c:val>
            <c:numRef>
              <c:f>'START_HERE'!$B$15:$B$23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7d93c7c9fb4d8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eopleWatchlist" displayName="PeopleWatchlist" ref="A1:W101" headerRowCount="1">
  <x:tableColumns count="23">
    <x:tableColumn id="1" name="Seed ID"/>
    <x:tableColumn id="2" name="Priority score"/>
    <x:tableColumn id="3" name="Tier"/>
    <x:tableColumn id="4" name="Group"/>
    <x:tableColumn id="5" name="Name"/>
    <x:tableColumn id="6" name="Organization / project"/>
    <x:tableColumn id="7" name="Role / technical surface"/>
    <x:tableColumn id="8" name="Signal cluster"/>
    <x:tableColumn id="9" name="Direct builder?"/>
    <x:tableColumn id="10" name="Best monitoring surface"/>
    <x:tableColumn id="11" name="X handle"/>
    <x:tableColumn id="12" name="X verification"/>
    <x:tableColumn id="13" name="Suggested cadence"/>
    <x:tableColumn id="14" name="Affiliation confidence"/>
    <x:tableColumn id="15" name="Last checked"/>
    <x:tableColumn id="16" name="Why track"/>
    <x:tableColumn id="17" name="Primary source URL"/>
    <x:tableColumn id="18" name="Secondary source URL"/>
    <x:tableColumn id="19" name="Relevance"/>
    <x:tableColumn id="20" name="Primary evidence"/>
    <x:tableColumn id="21" name="Implementation activity"/>
    <x:tableColumn id="22" name="Behind-scenes value"/>
    <x:tableColumn id="23" name="Freshness"/>
  </x:tableColumns>
  <x:tableStyleInfo name="TableStyleMedium2" showRowStripes="1"/>
</x:table>
</file>

<file path=xl/tables/table2.xml><?xml version="1.0" encoding="utf-8"?>
<x:table xmlns:x="http://schemas.openxmlformats.org/spreadsheetml/2006/main" id="2" name="ChannelsTable" displayName="ChannelsTable" ref="A3:J23" headerRowCount="1">
  <x:tableColumns count="10">
    <x:tableColumn id="1" name="Evidence layer"/>
    <x:tableColumn id="2" name="Channel"/>
    <x:tableColumn id="3" name="Typical latency"/>
    <x:tableColumn id="4" name="Reliability"/>
    <x:tableColumn id="5" name="Best information to extract"/>
    <x:tableColumn id="6" name="Automation method"/>
    <x:tableColumn id="7" name="Suggested cadence"/>
    <x:tableColumn id="8" name="How to use it"/>
    <x:tableColumn id="9" name="Main risks"/>
    <x:tableColumn id="10" name="Examples"/>
  </x:tableColumns>
  <x:tableStyleInfo name="TableStyleMedium2" showRowStripes="1"/>
</x:table>
</file>

<file path=xl/tables/table3.xml><?xml version="1.0" encoding="utf-8"?>
<x:table xmlns:x="http://schemas.openxmlformats.org/spreadsheetml/2006/main" id="3" name="XQueriesTable" displayName="XQueriesTable" ref="A3:D15" headerRowCount="1">
  <x:tableColumns count="4">
    <x:tableColumn id="1" name="Query / operation"/>
    <x:tableColumn id="2" name="Template"/>
    <x:tableColumn id="3" name="Purpose"/>
    <x:tableColumn id="4" name="Required downstream handling"/>
  </x:tableColumns>
  <x:tableStyleInfo name="TableStyleMedium2" showRowStripes="1"/>
</x:table>
</file>

<file path=xl/tables/table4.xml><?xml version="1.0" encoding="utf-8"?>
<x:table xmlns:x="http://schemas.openxmlformats.org/spreadsheetml/2006/main" id="4" name="SourceSeedsTable" displayName="SourceSeedsTable" ref="A3:G46" headerRowCount="1">
  <x:tableColumns count="7">
    <x:tableColumn id="1" name="Source"/>
    <x:tableColumn id="2" name="Type"/>
    <x:tableColumn id="3" name="Tier"/>
    <x:tableColumn id="4" name="Topics"/>
    <x:tableColumn id="5" name="URL"/>
    <x:tableColumn id="6" name="Polling method"/>
    <x:tableColumn id="7" name="Ca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82db02b82143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33408f8fd74c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a50802e95a41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57efba3ade44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bd23f42cc04544c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66" hidden="0" customWidth="1"/>
    <x:col min="4" max="4" width="58" hidden="0" customWidth="1"/>
  </x:cols>
  <x:sheetData>
    <x:row r="1" ht="30" customHeight="1">
      <x:c r="A1" s="5" t="str">
        <x:v>Scoring model — people, sources and X replies</x:v>
      </x:c>
      <x:c r="B1" s="5"/>
      <x:c r="C1" s="5"/>
      <x:c r="D1" s="5"/>
    </x:row>
    <x:row r="3" ht="34" customHeight="1">
      <x:c r="A3" s="13" t="str">
        <x:v>Person-score component</x:v>
      </x:c>
      <x:c r="B3" s="13" t="str">
        <x:v>Weight / value</x:v>
      </x:c>
      <x:c r="C3" s="13" t="str">
        <x:v>Definition</x:v>
      </x:c>
    </x:row>
    <x:row r="4" ht="34" customHeight="1">
      <x:c r="A4" s="20" t="str">
        <x:v>Relevance</x:v>
      </x:c>
      <x:c r="B4" s="24" t="n">
        <x:v>0.25</x:v>
      </x:c>
      <x:c r="C4" s="20" t="str">
        <x:v>Direct applicability to agents, orchestration, memory, context, coding agents or evaluation.</x:v>
      </x:c>
    </x:row>
    <x:row r="5" ht="34" customHeight="1">
      <x:c r="A5" s="20" t="str">
        <x:v>Primary evidence</x:v>
      </x:c>
      <x:c r="B5" s="24" t="n">
        <x:v>0.25</x:v>
      </x:c>
      <x:c r="C5" s="20" t="str">
        <x:v>How directly the person publishes code, papers, official engineering detail or maintained artifacts.</x:v>
      </x:c>
    </x:row>
    <x:row r="6" ht="34" customHeight="1">
      <x:c r="A6" s="20" t="str">
        <x:v>Implementation activity</x:v>
      </x:c>
      <x:c r="B6" s="24" t="n">
        <x:v>0.2</x:v>
      </x:c>
      <x:c r="C6" s="20" t="str">
        <x:v>Recent shipping, repository ownership, reviews, releases or reproducible experiments.</x:v>
      </x:c>
    </x:row>
    <x:row r="7" ht="34" customHeight="1">
      <x:c r="A7" s="20" t="str">
        <x:v>Behind-scenes value</x:v>
      </x:c>
      <x:c r="B7" s="24" t="n">
        <x:v>0.2</x:v>
      </x:c>
      <x:c r="C7" s="20" t="str">
        <x:v>Likelihood of exposing implementation trade-offs rather than only strategic/marketing commentary.</x:v>
      </x:c>
    </x:row>
    <x:row r="8" ht="34" customHeight="1">
      <x:c r="A8" s="20" t="str">
        <x:v>Freshness</x:v>
      </x:c>
      <x:c r="B8" s="24" t="n">
        <x:v>0.1</x:v>
      </x:c>
      <x:c r="C8" s="20" t="str">
        <x:v>Current activity and evidence as of the last verification date.</x:v>
      </x:c>
    </x:row>
    <x:row r="9" ht="34" customHeight="1">
      <x:c r="A9" s="20" t="str">
        <x:v>Maximum criterion value</x:v>
      </x:c>
      <x:c r="B9" s="26" t="n">
        <x:v>5</x:v>
      </x:c>
      <x:c r="C9" s="20" t="str">
        <x:v>All person components are scored from 1 to 5.</x:v>
      </x:c>
    </x:row>
    <x:row r="10" ht="34" customHeight="1">
      <x:c r="A10" s="20" t="str">
        <x:v>Score scale</x:v>
      </x:c>
      <x:c r="B10" s="26" t="n">
        <x:v>100</x:v>
      </x:c>
      <x:c r="C10" s="20" t="str">
        <x:v>Final score is normalized to 0–100.</x:v>
      </x:c>
    </x:row>
    <x:row r="11" ht="34" customHeight="1">
      <x:c r="A11" s="20" t="str">
        <x:v>T1 threshold</x:v>
      </x:c>
      <x:c r="B11" s="26" t="n">
        <x:v>98</x:v>
      </x:c>
      <x:c r="C11" s="20" t="str">
        <x:v>High-priority monitoring.</x:v>
      </x:c>
    </x:row>
    <x:row r="12">
      <x:c r="A12" t="str">
        <x:v>T2 threshold</x:v>
      </x:c>
      <x:c r="B12" t="n">
        <x:v>88</x:v>
      </x:c>
      <x:c r="C12" t="str">
        <x:v>Regular monitoring; T3 is below this threshold.</x:v>
      </x:c>
    </x:row>
    <x:row r="14" ht="38" customHeight="1">
      <x:c r="A14" s="13" t="str">
        <x:v>X-reply score component</x:v>
      </x:c>
      <x:c r="B14" s="13" t="str">
        <x:v>Weight</x:v>
      </x:c>
      <x:c r="C14" s="13" t="str">
        <x:v>What earns a high score</x:v>
      </x:c>
      <x:c r="D14" s="13" t="str">
        <x:v>Operational note</x:v>
      </x:c>
    </x:row>
    <x:row r="15" ht="38" customHeight="1">
      <x:c r="A15" s="20" t="str">
        <x:v>Primary evidence linked</x:v>
      </x:c>
      <x:c r="B15" s="24" t="n">
        <x:v>0.25</x:v>
      </x:c>
      <x:c r="C15" s="20" t="str">
        <x:v>Code, paper, benchmark, PR, issue, logs or official docs.</x:v>
      </x:c>
      <x:c r="D15" s="20" t="str">
        <x:v>A reply without evidence can still be useful as discovery, not as proof.</x:v>
      </x:c>
    </x:row>
    <x:row r="16" ht="38" customHeight="1">
      <x:c r="A16" s="20" t="str">
        <x:v>Project relevance</x:v>
      </x:c>
      <x:c r="B16" s="24" t="n">
        <x:v>0.2</x:v>
      </x:c>
      <x:c r="C16" s="20" t="str">
        <x:v>Maps to an active project, current architecture or stated topic subscription.</x:v>
      </x:c>
      <x:c r="D16" s="20" t="str">
        <x:v>Score against the project registry, not generic AI popularity.</x:v>
      </x:c>
    </x:row>
    <x:row r="17" ht="38" customHeight="1">
      <x:c r="A17" s="20" t="str">
        <x:v>Technical authority</x:v>
      </x:c>
      <x:c r="B17" s="24" t="n">
        <x:v>0.15</x:v>
      </x:c>
      <x:c r="C17" s="20" t="str">
        <x:v>Author, maintainer, reviewer, direct implementer or domain practitioner.</x:v>
      </x:c>
      <x:c r="D17" s="20" t="str">
        <x:v>Resolve identities to stable user IDs; do not trust display names alone.</x:v>
      </x:c>
    </x:row>
    <x:row r="18" ht="38" customHeight="1">
      <x:c r="A18" s="20" t="str">
        <x:v>Specificity / reproducibility</x:v>
      </x:c>
      <x:c r="B18" s="24" t="n">
        <x:v>0.15</x:v>
      </x:c>
      <x:c r="C18" s="20" t="str">
        <x:v>Concrete setup, versions, metrics, failure conditions or code.</x:v>
      </x:c>
      <x:c r="D18" s="20" t="str">
        <x:v>Prefer details that another agent can test.</x:v>
      </x:c>
    </x:row>
    <x:row r="19" ht="38" customHeight="1">
      <x:c r="A19" s="20" t="str">
        <x:v>Novelty</x:v>
      </x:c>
      <x:c r="B19" s="24" t="n">
        <x:v>0.1</x:v>
      </x:c>
      <x:c r="C19" s="20" t="str">
        <x:v>Adds information not already in the root post or evidence store.</x:v>
      </x:c>
      <x:c r="D19" s="20" t="str">
        <x:v>Deduplicate near-identical reposts and summaries.</x:v>
      </x:c>
    </x:row>
    <x:row r="20" ht="38" customHeight="1">
      <x:c r="A20" s="20" t="str">
        <x:v>Independent corroboration</x:v>
      </x:c>
      <x:c r="B20" s="24" t="n">
        <x:v>0.1</x:v>
      </x:c>
      <x:c r="C20" s="20" t="str">
        <x:v>Confirmed by another credible source or artifact.</x:v>
      </x:c>
      <x:c r="D20" s="20" t="str">
        <x:v>Track supporting and contradicting evidence separately.</x:v>
      </x:c>
    </x:row>
    <x:row r="21" ht="38" customHeight="1">
      <x:c r="A21" s="20" t="str">
        <x:v>Discussion quality</x:v>
      </x:c>
      <x:c r="B21" s="24" t="n">
        <x:v>0.05</x:v>
      </x:c>
      <x:c r="C21" s="20" t="str">
        <x:v>Substantive exchange with clarifications and objections.</x:v>
      </x:c>
      <x:c r="D21" s="20" t="str">
        <x:v>Engagement count is a weak feature, never the main score.</x:v>
      </x:c>
    </x:row>
    <x:row r="22" ht="38" customHeight="1">
      <x:c r="A22" s="20" t="str">
        <x:v>Total</x:v>
      </x:c>
      <x:c r="B22" s="24" t="n">
        <x:v>1</x:v>
      </x:c>
      <x:c r="C22" s="20" t="str"/>
      <x:c r="D22" s="20" t="str"/>
    </x:row>
    <x:row r="25" ht="34" customHeight="1">
      <x:c r="A25" s="13" t="str">
        <x:v>Penalty / hard rule</x:v>
      </x:c>
      <x:c r="B25" s="13" t="str">
        <x:v>Suggested penalty</x:v>
      </x:c>
      <x:c r="C25" s="13" t="str">
        <x:v>Reason</x:v>
      </x:c>
    </x:row>
    <x:row r="26" ht="34" customHeight="1">
      <x:c r="A26" s="20" t="str">
        <x:v>No linked evidence for a strong factual claim</x:v>
      </x:c>
      <x:c r="B26" s="26" t="n">
        <x:v>-15</x:v>
      </x:c>
      <x:c r="C26" s="20" t="str">
        <x:v>Keep as a lead, not a conclusion.</x:v>
      </x:c>
    </x:row>
    <x:row r="27" ht="34" customHeight="1">
      <x:c r="A27" s="20" t="str">
        <x:v>Pure promotion / launch hype</x:v>
      </x:c>
      <x:c r="B27" s="26" t="n">
        <x:v>-10</x:v>
      </x:c>
      <x:c r="C27" s="20" t="str">
        <x:v>Low implementation value.</x:v>
      </x:c>
    </x:row>
    <x:row r="28" ht="34" customHeight="1">
      <x:c r="A28" s="20" t="str">
        <x:v>Duplicate or paraphrase of existing item</x:v>
      </x:c>
      <x:c r="B28" s="26" t="n">
        <x:v>-15</x:v>
      </x:c>
      <x:c r="C28" s="20" t="str">
        <x:v>Consumes attention without adding signal.</x:v>
      </x:c>
    </x:row>
    <x:row r="29" ht="34" customHeight="1">
      <x:c r="A29" s="20" t="str">
        <x:v>Unverifiable anonymous claim</x:v>
      </x:c>
      <x:c r="B29" s="26" t="n">
        <x:v>-20</x:v>
      </x:c>
      <x:c r="C29" s="20" t="str">
        <x:v>Identity and evidence cannot be established.</x:v>
      </x:c>
    </x:row>
    <x:row r="30" ht="34" customHeight="1">
      <x:c r="A30" s="20" t="str">
        <x:v>Conflicted vendor benchmark with no methodology</x:v>
      </x:c>
      <x:c r="B30" s="26" t="n">
        <x:v>-15</x:v>
      </x:c>
      <x:c r="C30" s="20" t="str">
        <x:v>High risk of selective reporting.</x:v>
      </x:c>
    </x:row>
    <x:row r="31" ht="34" customHeight="1">
      <x:c r="A31" s="20" t="str">
        <x:v>External text contains executable instructions</x:v>
      </x:c>
      <x:c r="B31" s="20" t="str">
        <x:v>Hard block</x:v>
      </x:c>
      <x:c r="C31" s="20" t="str">
        <x:v>Treat as untrusted data; never allow it to control privileged tools.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8" hidden="0" customWidth="1"/>
    <x:col min="4" max="4" width="23" hidden="0" customWidth="1"/>
    <x:col min="5" max="5" width="23" hidden="0" customWidth="1"/>
    <x:col min="6" max="6" width="24" hidden="0" customWidth="1"/>
    <x:col min="7" max="7" width="32" hidden="0" customWidth="1"/>
    <x:col min="8" max="8" width="34" hidden="0" customWidth="1"/>
    <x:col min="9" max="9" width="13" hidden="0" customWidth="1"/>
    <x:col min="10" max="10" width="34" hidden="0" customWidth="1"/>
    <x:col min="11" max="11" width="18" hidden="0" customWidth="1"/>
    <x:col min="12" max="12" width="22" hidden="0" customWidth="1"/>
    <x:col min="13" max="13" width="17" hidden="0" customWidth="1"/>
    <x:col min="14" max="14" width="17" hidden="0" customWidth="1"/>
    <x:col min="15" max="15" width="13" hidden="0" customWidth="1"/>
    <x:col min="16" max="16" width="48" hidden="0" customWidth="1"/>
    <x:col min="17" max="17" width="42" hidden="0" customWidth="1"/>
    <x:col min="18" max="18" width="4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42" customHeight="1">
      <x:c r="A1" s="13" t="str">
        <x:v>Seed ID</x:v>
      </x:c>
      <x:c r="B1" s="13" t="str">
        <x:v>Priority score</x:v>
      </x:c>
      <x:c r="C1" s="13" t="str">
        <x:v>Tier</x:v>
      </x:c>
      <x:c r="D1" s="13" t="str">
        <x:v>Group</x:v>
      </x:c>
      <x:c r="E1" s="13" t="str">
        <x:v>Name</x:v>
      </x:c>
      <x:c r="F1" s="13" t="str">
        <x:v>Organization / project</x:v>
      </x:c>
      <x:c r="G1" s="13" t="str">
        <x:v>Role / technical surface</x:v>
      </x:c>
      <x:c r="H1" s="13" t="str">
        <x:v>Signal cluster</x:v>
      </x:c>
      <x:c r="I1" s="13" t="str">
        <x:v>Direct builder?</x:v>
      </x:c>
      <x:c r="J1" s="13" t="str">
        <x:v>Best monitoring surface</x:v>
      </x:c>
      <x:c r="K1" s="13" t="str">
        <x:v>X handle</x:v>
      </x:c>
      <x:c r="L1" s="13" t="str">
        <x:v>X verification</x:v>
      </x:c>
      <x:c r="M1" s="13" t="str">
        <x:v>Suggested cadence</x:v>
      </x:c>
      <x:c r="N1" s="13" t="str">
        <x:v>Affiliation confidence</x:v>
      </x:c>
      <x:c r="O1" s="13" t="str">
        <x:v>Last checked</x:v>
      </x:c>
      <x:c r="P1" s="13" t="str">
        <x:v>Why track</x:v>
      </x:c>
      <x:c r="Q1" s="13" t="str">
        <x:v>Primary source URL</x:v>
      </x:c>
      <x:c r="R1" s="13" t="str">
        <x:v>Secondary source URL</x:v>
      </x:c>
      <x:c r="S1" s="13" t="str">
        <x:v>Relevance</x:v>
      </x:c>
      <x:c r="T1" s="13" t="str">
        <x:v>Primary evidence</x:v>
      </x:c>
      <x:c r="U1" s="13" t="str">
        <x:v>Implementation activity</x:v>
      </x:c>
      <x:c r="V1" s="13" t="str">
        <x:v>Behind-scenes value</x:v>
      </x:c>
      <x:c r="W1" s="13" t="str">
        <x:v>Freshness</x:v>
      </x:c>
    </x:row>
    <x:row r="2" ht="50" customHeight="1">
      <x:c r="A2" s="26" t="n">
        <x:v>1</x:v>
      </x:c>
      <x:c r="B2" s="28" t="n">
        <x:f>ROUND((S2*Scoring_Model!$B$4+T2*Scoring_Model!$B$5+U2*Scoring_Model!$B$6+V2*Scoring_Model!$B$7+W2*Scoring_Model!$B$8)/Scoring_Model!$B$9*Scoring_Model!$B$10,1)</x:f>
        <x:v>100</x:v>
      </x:c>
      <x:c r="C2" s="20" t="str">
        <x:f>IF(B2&gt;=Scoring_Model!$B$11,"T1",IF(B2&gt;=Scoring_Model!$B$12,"T2","T3"))</x:f>
        <x:v>T1</x:v>
      </x:c>
      <x:c r="D2" s="20" t="str">
        <x:v>OpenAI / Codex</x:v>
      </x:c>
      <x:c r="E2" s="20" t="str">
        <x:v>Michael Bolin</x:v>
      </x:c>
      <x:c r="F2" s="20" t="str">
        <x:v>OpenAI</x:v>
      </x:c>
      <x:c r="G2" s="20" t="str">
        <x:v>Codex CLI agent-loop engineering</x:v>
      </x:c>
      <x:c r="H2" s="20" t="str">
        <x:v>agent loop, context compaction, tool execution</x:v>
      </x:c>
      <x:c r="I2" s="20" t="str">
        <x:v>Yes</x:v>
      </x:c>
      <x:c r="J2" s="20" t="str">
        <x:v>OpenAI engineering posts; Codex GitHub issues/PRs</x:v>
      </x:c>
      <x:c r="K2" s="32" t="str"/>
      <x:c r="L2" s="20" t="str">
        <x:v>Not resolved</x:v>
      </x:c>
      <x:c r="M2" s="20" t="str">
        <x:v>On new post/release</x:v>
      </x:c>
      <x:c r="N2" s="20" t="str">
        <x:v>High</x:v>
      </x:c>
      <x:c r="O2" s="30" t="str">
        <x:v>2026-07-13</x:v>
      </x:c>
      <x:c r="P2" s="20" t="str">
        <x:v>Authored the detailed public explanation of the Codex harness and automatic context compaction.</x:v>
      </x:c>
      <x:c r="Q2" s="32" t="str">
        <x:v>https://openai.com/index/unrolling-the-codex-agent-loop/</x:v>
      </x:c>
      <x:c r="R2" s="32" t="str">
        <x:v>https://github.com/openai/codex</x:v>
      </x:c>
      <x:c r="S2" s="26" t="n">
        <x:v>5</x:v>
      </x:c>
      <x:c r="T2" s="26" t="n">
        <x:v>5</x:v>
      </x:c>
      <x:c r="U2" s="26" t="n">
        <x:v>5</x:v>
      </x:c>
      <x:c r="V2" s="26" t="n">
        <x:v>5</x:v>
      </x:c>
      <x:c r="W2" s="26" t="n">
        <x:v>5</x:v>
      </x:c>
    </x:row>
    <x:row r="3" ht="50" customHeight="1">
      <x:c r="A3" s="26" t="n">
        <x:v>2</x:v>
      </x:c>
      <x:c r="B3" s="28" t="n">
        <x:f>ROUND((S3*Scoring_Model!$B$4+T3*Scoring_Model!$B$5+U3*Scoring_Model!$B$6+V3*Scoring_Model!$B$7+W3*Scoring_Model!$B$8)/Scoring_Model!$B$9*Scoring_Model!$B$10,1)</x:f>
        <x:v>100</x:v>
      </x:c>
      <x:c r="C3" s="20" t="str">
        <x:f>IF(B3&gt;=Scoring_Model!$B$11,"T1",IF(B3&gt;=Scoring_Model!$B$12,"T2","T3"))</x:f>
        <x:v>T1</x:v>
      </x:c>
      <x:c r="D3" s="20" t="str">
        <x:v>OpenAI / Codex</x:v>
      </x:c>
      <x:c r="E3" s="20" t="str">
        <x:v>Celia Chen</x:v>
      </x:c>
      <x:c r="F3" s="20" t="str">
        <x:v>OpenAI</x:v>
      </x:c>
      <x:c r="G3" s="20" t="str">
        <x:v>Codex App Server engineering</x:v>
      </x:c>
      <x:c r="H3" s="20" t="str">
        <x:v>agent runtime, thread persistence, JSON-RPC, client integration</x:v>
      </x:c>
      <x:c r="I3" s="20" t="str">
        <x:v>Yes</x:v>
      </x:c>
      <x:c r="J3" s="20" t="str">
        <x:v>OpenAI engineering posts; Codex App Server PRs</x:v>
      </x:c>
      <x:c r="K3" s="32" t="str"/>
      <x:c r="L3" s="20" t="str">
        <x:v>Not resolved</x:v>
      </x:c>
      <x:c r="M3" s="20" t="str">
        <x:v>On new post/release</x:v>
      </x:c>
      <x:c r="N3" s="20" t="str">
        <x:v>High</x:v>
      </x:c>
      <x:c r="O3" s="30" t="str">
        <x:v>2026-07-13</x:v>
      </x:c>
      <x:c r="P3" s="20" t="str">
        <x:v>Explains the reusable runtime and protocol that power Codex across CLI, IDE, web, and app surfaces.</x:v>
      </x:c>
      <x:c r="Q3" s="32" t="str">
        <x:v>https://openai.com/index/unlocking-the-codex-harness/</x:v>
      </x:c>
      <x:c r="R3" s="32" t="str">
        <x:v>https://github.com/openai/codex</x:v>
      </x:c>
      <x:c r="S3" s="26" t="n">
        <x:v>5</x:v>
      </x:c>
      <x:c r="T3" s="26" t="n">
        <x:v>5</x:v>
      </x:c>
      <x:c r="U3" s="26" t="n">
        <x:v>5</x:v>
      </x:c>
      <x:c r="V3" s="26" t="n">
        <x:v>5</x:v>
      </x:c>
      <x:c r="W3" s="26" t="n">
        <x:v>5</x:v>
      </x:c>
    </x:row>
    <x:row r="4" ht="50" customHeight="1">
      <x:c r="A4" s="26" t="n">
        <x:v>3</x:v>
      </x:c>
      <x:c r="B4" s="28" t="n">
        <x:f>ROUND((S4*Scoring_Model!$B$4+T4*Scoring_Model!$B$5+U4*Scoring_Model!$B$6+V4*Scoring_Model!$B$7+W4*Scoring_Model!$B$8)/Scoring_Model!$B$9*Scoring_Model!$B$10,1)</x:f>
        <x:v>100</x:v>
      </x:c>
      <x:c r="C4" s="20" t="str">
        <x:f>IF(B4&gt;=Scoring_Model!$B$11,"T1",IF(B4&gt;=Scoring_Model!$B$12,"T2","T3"))</x:f>
        <x:v>T1</x:v>
      </x:c>
      <x:c r="D4" s="20" t="str">
        <x:v>OpenAI / Codex</x:v>
      </x:c>
      <x:c r="E4" s="20" t="str">
        <x:v>Jason Liu</x:v>
      </x:c>
      <x:c r="F4" s="20" t="str">
        <x:v>OpenAI Codex</x:v>
      </x:c>
      <x:c r="G4" s="20" t="str">
        <x:v>Developer experience; long-running Codex workflows</x:v>
      </x:c>
      <x:c r="H4" s="20" t="str">
        <x:v>persistent workspaces, project memory, context continuity</x:v>
      </x:c>
      <x:c r="I4" s="20" t="str">
        <x:v>Yes</x:v>
      </x:c>
      <x:c r="J4" s="20" t="str">
        <x:v>Whitepapers, personal technical posts, X</x:v>
      </x:c>
      <x:c r="K4" s="32" t="str">
        <x:v>@jxnlco</x:v>
      </x:c>
      <x:c r="L4" s="20" t="str">
        <x:v>High-confidence handle</x:v>
      </x:c>
      <x:c r="M4" s="20" t="str">
        <x:v>2x weekly</x:v>
      </x:c>
      <x:c r="N4" s="20" t="str">
        <x:v>High</x:v>
      </x:c>
      <x:c r="O4" s="30" t="str">
        <x:v>2026-07-13</x:v>
      </x:c>
      <x:c r="P4" s="20" t="str">
        <x:v>Practical patterns for sustaining multi-session, long-running work with coding agents.</x:v>
      </x:c>
      <x:c r="Q4" s="32" t="str">
        <x:v>https://openai.com/index/codex-maxxing-long-running-work/</x:v>
      </x:c>
      <x:c r="R4" s="32" t="str">
        <x:v>https://jxnl.co/</x:v>
      </x:c>
      <x:c r="S4" s="26" t="n">
        <x:v>5</x:v>
      </x:c>
      <x:c r="T4" s="26" t="n">
        <x:v>5</x:v>
      </x:c>
      <x:c r="U4" s="26" t="n">
        <x:v>5</x:v>
      </x:c>
      <x:c r="V4" s="26" t="n">
        <x:v>5</x:v>
      </x:c>
      <x:c r="W4" s="26" t="n">
        <x:v>5</x:v>
      </x:c>
    </x:row>
    <x:row r="5" ht="50" customHeight="1">
      <x:c r="A5" s="26" t="n">
        <x:v>4</x:v>
      </x:c>
      <x:c r="B5" s="28" t="n">
        <x:f>ROUND((S5*Scoring_Model!$B$4+T5*Scoring_Model!$B$5+U5*Scoring_Model!$B$6+V5*Scoring_Model!$B$7+W5*Scoring_Model!$B$8)/Scoring_Model!$B$9*Scoring_Model!$B$10,1)</x:f>
        <x:v>100</x:v>
      </x:c>
      <x:c r="C5" s="20" t="str">
        <x:f>IF(B5&gt;=Scoring_Model!$B$11,"T1",IF(B5&gt;=Scoring_Model!$B$12,"T2","T3"))</x:f>
        <x:v>T1</x:v>
      </x:c>
      <x:c r="D5" s="20" t="str">
        <x:v>OpenAI / Codex</x:v>
      </x:c>
      <x:c r="E5" s="20" t="str">
        <x:v>John de Wasseige</x:v>
      </x:c>
      <x:c r="F5" s="20" t="str">
        <x:v>OpenAI</x:v>
      </x:c>
      <x:c r="G5" s="20" t="str">
        <x:v>Self-improving agent engineering</x:v>
      </x:c>
      <x:c r="H5" s="20" t="str">
        <x:v>production traces, eval loops, expert feedback</x:v>
      </x:c>
      <x:c r="I5" s="20" t="str">
        <x:v>Yes</x:v>
      </x:c>
      <x:c r="J5" s="20" t="str">
        <x:v>OpenAI engineering posts; authored case studies</x:v>
      </x:c>
      <x:c r="K5" s="32" t="str"/>
      <x:c r="L5" s="20" t="str">
        <x:v>Not resolved</x:v>
      </x:c>
      <x:c r="M5" s="20" t="str">
        <x:v>On new post</x:v>
      </x:c>
      <x:c r="N5" s="20" t="str">
        <x:v>High</x:v>
      </x:c>
      <x:c r="O5" s="30" t="str">
        <x:v>2026-07-13</x:v>
      </x:c>
      <x:c r="P5" s="20" t="str">
        <x:v>Co-authored a concrete production loop that turns corrections and traces into agent evals and improvements.</x:v>
      </x:c>
      <x:c r="Q5" s="32" t="str">
        <x:v>https://openai.com/index/building-self-improving-tax-agents-with-codex/</x:v>
      </x:c>
      <x:c r="R5" s="32" t="str">
        <x:v>https://openai.com/research/</x:v>
      </x:c>
      <x:c r="S5" s="26" t="n">
        <x:v>5</x:v>
      </x:c>
      <x:c r="T5" s="26" t="n">
        <x:v>5</x:v>
      </x:c>
      <x:c r="U5" s="26" t="n">
        <x:v>5</x:v>
      </x:c>
      <x:c r="V5" s="26" t="n">
        <x:v>5</x:v>
      </x:c>
      <x:c r="W5" s="26" t="n">
        <x:v>5</x:v>
      </x:c>
    </x:row>
    <x:row r="6" ht="50" customHeight="1">
      <x:c r="A6" s="26" t="n">
        <x:v>5</x:v>
      </x:c>
      <x:c r="B6" s="28" t="n">
        <x:f>ROUND((S6*Scoring_Model!$B$4+T6*Scoring_Model!$B$5+U6*Scoring_Model!$B$6+V6*Scoring_Model!$B$7+W6*Scoring_Model!$B$8)/Scoring_Model!$B$9*Scoring_Model!$B$10,1)</x:f>
        <x:v>100</x:v>
      </x:c>
      <x:c r="C6" s="20" t="str">
        <x:f>IF(B6&gt;=Scoring_Model!$B$11,"T1",IF(B6&gt;=Scoring_Model!$B$12,"T2","T3"))</x:f>
        <x:v>T1</x:v>
      </x:c>
      <x:c r="D6" s="20" t="str">
        <x:v>OpenAI / Codex</x:v>
      </x:c>
      <x:c r="E6" s="20" t="str">
        <x:v>Arthur Fernandes Araujo</x:v>
      </x:c>
      <x:c r="F6" s="20" t="str">
        <x:v>OpenAI</x:v>
      </x:c>
      <x:c r="G6" s="20" t="str">
        <x:v>Self-improving agent engineering</x:v>
      </x:c>
      <x:c r="H6" s="20" t="str">
        <x:v>production traces, eval loops, domain adaptation</x:v>
      </x:c>
      <x:c r="I6" s="20" t="str">
        <x:v>Yes</x:v>
      </x:c>
      <x:c r="J6" s="20" t="str">
        <x:v>OpenAI engineering posts; authored case studies</x:v>
      </x:c>
      <x:c r="K6" s="32" t="str"/>
      <x:c r="L6" s="20" t="str">
        <x:v>Not resolved</x:v>
      </x:c>
      <x:c r="M6" s="20" t="str">
        <x:v>On new post</x:v>
      </x:c>
      <x:c r="N6" s="20" t="str">
        <x:v>High</x:v>
      </x:c>
      <x:c r="O6" s="30" t="str">
        <x:v>2026-07-13</x:v>
      </x:c>
      <x:c r="P6" s="20" t="str">
        <x:v>Co-authored a measurable self-improvement pattern for domain agents.</x:v>
      </x:c>
      <x:c r="Q6" s="32" t="str">
        <x:v>https://openai.com/index/building-self-improving-tax-agents-with-codex/</x:v>
      </x:c>
      <x:c r="R6" s="32" t="str">
        <x:v>https://openai.com/research/</x:v>
      </x:c>
      <x:c r="S6" s="26" t="n">
        <x:v>5</x:v>
      </x:c>
      <x:c r="T6" s="26" t="n">
        <x:v>5</x:v>
      </x:c>
      <x:c r="U6" s="26" t="n">
        <x:v>5</x:v>
      </x:c>
      <x:c r="V6" s="26" t="n">
        <x:v>5</x:v>
      </x:c>
      <x:c r="W6" s="26" t="n">
        <x:v>5</x:v>
      </x:c>
    </x:row>
    <x:row r="7" ht="50" customHeight="1">
      <x:c r="A7" s="26" t="n">
        <x:v>6</x:v>
      </x:c>
      <x:c r="B7" s="28" t="n">
        <x:f>ROUND((S7*Scoring_Model!$B$4+T7*Scoring_Model!$B$5+U7*Scoring_Model!$B$6+V7*Scoring_Model!$B$7+W7*Scoring_Model!$B$8)/Scoring_Model!$B$9*Scoring_Model!$B$10,1)</x:f>
        <x:v>91</x:v>
      </x:c>
      <x:c r="C7" s="20" t="str">
        <x:f>IF(B7&gt;=Scoring_Model!$B$11,"T1",IF(B7&gt;=Scoring_Model!$B$12,"T2","T3"))</x:f>
        <x:v>T2</x:v>
      </x:c>
      <x:c r="D7" s="20" t="str">
        <x:v>OpenAI / Codex</x:v>
      </x:c>
      <x:c r="E7" s="20" t="str">
        <x:v>Ken Rockot</x:v>
      </x:c>
      <x:c r="F7" s="20" t="str">
        <x:v>OpenAI</x:v>
      </x:c>
      <x:c r="G7" s="20" t="str">
        <x:v>Browser/agent architecture engineering</x:v>
      </x:c>
      <x:c r="H7" s="20" t="str">
        <x:v>browser process architecture, agent-mode constraints</x:v>
      </x:c>
      <x:c r="I7" s="20" t="str">
        <x:v>Yes</x:v>
      </x:c>
      <x:c r="J7" s="20" t="str">
        <x:v>OpenAI engineering posts</x:v>
      </x:c>
      <x:c r="K7" s="32" t="str"/>
      <x:c r="L7" s="20" t="str">
        <x:v>Not resolved</x:v>
      </x:c>
      <x:c r="M7" s="20" t="str">
        <x:v>On new post</x:v>
      </x:c>
      <x:c r="N7" s="20" t="str">
        <x:v>High</x:v>
      </x:c>
      <x:c r="O7" s="30" t="str">
        <x:v>2026-07-13</x:v>
      </x:c>
      <x:c r="P7" s="20" t="str">
        <x:v>Co-authored the architecture behind ChatGPT Atlas and its agent-mode integration.</x:v>
      </x:c>
      <x:c r="Q7" s="32" t="str">
        <x:v>https://openai.com/index/building-chatgpt-atlas/</x:v>
      </x:c>
      <x:c r="R7" s="32" t="str">
        <x:v>https://openai.com/research/</x:v>
      </x:c>
      <x:c r="S7" s="26" t="n">
        <x:v>4</x:v>
      </x:c>
      <x:c r="T7" s="26" t="n">
        <x:v>5</x:v>
      </x:c>
      <x:c r="U7" s="26" t="n">
        <x:v>4</x:v>
      </x:c>
      <x:c r="V7" s="26" t="n">
        <x:v>5</x:v>
      </x:c>
      <x:c r="W7" s="26" t="n">
        <x:v>5</x:v>
      </x:c>
    </x:row>
    <x:row r="8" ht="50" customHeight="1">
      <x:c r="A8" s="26" t="n">
        <x:v>7</x:v>
      </x:c>
      <x:c r="B8" s="28" t="n">
        <x:f>ROUND((S8*Scoring_Model!$B$4+T8*Scoring_Model!$B$5+U8*Scoring_Model!$B$6+V8*Scoring_Model!$B$7+W8*Scoring_Model!$B$8)/Scoring_Model!$B$9*Scoring_Model!$B$10,1)</x:f>
        <x:v>87</x:v>
      </x:c>
      <x:c r="C8" s="20" t="str">
        <x:f>IF(B8&gt;=Scoring_Model!$B$11,"T1",IF(B8&gt;=Scoring_Model!$B$12,"T2","T3"))</x:f>
        <x:v>T3</x:v>
      </x:c>
      <x:c r="D8" s="20" t="str">
        <x:v>OpenAI / Codex</x:v>
      </x:c>
      <x:c r="E8" s="20" t="str">
        <x:v>Ben Goodger</x:v>
      </x:c>
      <x:c r="F8" s="20" t="str">
        <x:v>OpenAI</x:v>
      </x:c>
      <x:c r="G8" s="20" t="str">
        <x:v>Engineering leadership, ChatGPT Atlas</x:v>
      </x:c>
      <x:c r="H8" s="20" t="str">
        <x:v>browser agents, client architecture, productization</x:v>
      </x:c>
      <x:c r="I8" s="20" t="str">
        <x:v>Mixed</x:v>
      </x:c>
      <x:c r="J8" s="20" t="str">
        <x:v>OpenAI engineering posts</x:v>
      </x:c>
      <x:c r="K8" s="32" t="str"/>
      <x:c r="L8" s="20" t="str">
        <x:v>Not resolved</x:v>
      </x:c>
      <x:c r="M8" s="20" t="str">
        <x:v>On new post</x:v>
      </x:c>
      <x:c r="N8" s="20" t="str">
        <x:v>High</x:v>
      </x:c>
      <x:c r="O8" s="30" t="str">
        <x:v>2026-07-13</x:v>
      </x:c>
      <x:c r="P8" s="20" t="str">
        <x:v>Useful for understanding how browser-agent capabilities are embedded in a production client.</x:v>
      </x:c>
      <x:c r="Q8" s="32" t="str">
        <x:v>https://openai.com/index/building-chatgpt-atlas/</x:v>
      </x:c>
      <x:c r="R8" s="32" t="str">
        <x:v>https://openai.com/research/</x:v>
      </x:c>
      <x:c r="S8" s="26" t="n">
        <x:v>4</x:v>
      </x:c>
      <x:c r="T8" s="26" t="n">
        <x:v>5</x:v>
      </x:c>
      <x:c r="U8" s="26" t="n">
        <x:v>4</x:v>
      </x:c>
      <x:c r="V8" s="26" t="n">
        <x:v>4</x:v>
      </x:c>
      <x:c r="W8" s="26" t="n">
        <x:v>5</x:v>
      </x:c>
    </x:row>
    <x:row r="9" ht="50" customHeight="1">
      <x:c r="A9" s="26" t="n">
        <x:v>8</x:v>
      </x:c>
      <x:c r="B9" s="28" t="n">
        <x:f>ROUND((S9*Scoring_Model!$B$4+T9*Scoring_Model!$B$5+U9*Scoring_Model!$B$6+V9*Scoring_Model!$B$7+W9*Scoring_Model!$B$8)/Scoring_Model!$B$9*Scoring_Model!$B$10,1)</x:f>
        <x:v>87</x:v>
      </x:c>
      <x:c r="C9" s="20" t="str">
        <x:f>IF(B9&gt;=Scoring_Model!$B$11,"T1",IF(B9&gt;=Scoring_Model!$B$12,"T2","T3"))</x:f>
        <x:v>T3</x:v>
      </x:c>
      <x:c r="D9" s="20" t="str">
        <x:v>OpenAI / Codex</x:v>
      </x:c>
      <x:c r="E9" s="20" t="str">
        <x:v>Noam Brown</x:v>
      </x:c>
      <x:c r="F9" s="20" t="str">
        <x:v>OpenAI</x:v>
      </x:c>
      <x:c r="G9" s="20" t="str">
        <x:v>Research on reasoning and agentic decision-making</x:v>
      </x:c>
      <x:c r="H9" s="20" t="str">
        <x:v>reasoning, search, planning, strategic agents</x:v>
      </x:c>
      <x:c r="I9" s="20" t="str">
        <x:v>Yes</x:v>
      </x:c>
      <x:c r="J9" s="20" t="str">
        <x:v>Papers, talks, X</x:v>
      </x:c>
      <x:c r="K9" s="32" t="str">
        <x:v>@polynoamial</x:v>
      </x:c>
      <x:c r="L9" s="20" t="str">
        <x:v>High-confidence handle</x:v>
      </x:c>
      <x:c r="M9" s="20" t="str">
        <x:v>Weekly</x:v>
      </x:c>
      <x:c r="N9" s="20" t="str">
        <x:v>High</x:v>
      </x:c>
      <x:c r="O9" s="30" t="str">
        <x:v>2026-07-13</x:v>
      </x:c>
      <x:c r="P9" s="20" t="str">
        <x:v>Research signal on planning and reasoning methods that often transfer into agent systems.</x:v>
      </x:c>
      <x:c r="Q9" s="32" t="str">
        <x:v>https://noambrown.github.io/</x:v>
      </x:c>
      <x:c r="R9" s="32" t="str">
        <x:v>https://openai.com/research/</x:v>
      </x:c>
      <x:c r="S9" s="26" t="n">
        <x:v>4</x:v>
      </x:c>
      <x:c r="T9" s="26" t="n">
        <x:v>5</x:v>
      </x:c>
      <x:c r="U9" s="26" t="n">
        <x:v>4</x:v>
      </x:c>
      <x:c r="V9" s="26" t="n">
        <x:v>4</x:v>
      </x:c>
      <x:c r="W9" s="26" t="n">
        <x:v>5</x:v>
      </x:c>
    </x:row>
    <x:row r="10" ht="50" customHeight="1">
      <x:c r="A10" s="26" t="n">
        <x:v>9</x:v>
      </x:c>
      <x:c r="B10" s="28" t="n">
        <x:f>ROUND((S10*Scoring_Model!$B$4+T10*Scoring_Model!$B$5+U10*Scoring_Model!$B$6+V10*Scoring_Model!$B$7+W10*Scoring_Model!$B$8)/Scoring_Model!$B$9*Scoring_Model!$B$10,1)</x:f>
        <x:v>87</x:v>
      </x:c>
      <x:c r="C10" s="20" t="str">
        <x:f>IF(B10&gt;=Scoring_Model!$B$11,"T1",IF(B10&gt;=Scoring_Model!$B$12,"T2","T3"))</x:f>
        <x:v>T3</x:v>
      </x:c>
      <x:c r="D10" s="20" t="str">
        <x:v>OpenAI / Codex</x:v>
      </x:c>
      <x:c r="E10" s="20" t="str">
        <x:v>Jason Wei</x:v>
      </x:c>
      <x:c r="F10" s="20" t="str">
        <x:v>OpenAI</x:v>
      </x:c>
      <x:c r="G10" s="20" t="str">
        <x:v>Reasoning and language-model research</x:v>
      </x:c>
      <x:c r="H10" s="20" t="str">
        <x:v>reasoning, tool use, post-training</x:v>
      </x:c>
      <x:c r="I10" s="20" t="str">
        <x:v>Yes</x:v>
      </x:c>
      <x:c r="J10" s="20" t="str">
        <x:v>Papers, X, lab releases</x:v>
      </x:c>
      <x:c r="K10" s="32" t="str">
        <x:v>@_jasonwei</x:v>
      </x:c>
      <x:c r="L10" s="20" t="str">
        <x:v>High-confidence handle</x:v>
      </x:c>
      <x:c r="M10" s="20" t="str">
        <x:v>Weekly</x:v>
      </x:c>
      <x:c r="N10" s="20" t="str">
        <x:v>High</x:v>
      </x:c>
      <x:c r="O10" s="30" t="str">
        <x:v>2026-07-13</x:v>
      </x:c>
      <x:c r="P10" s="20" t="str">
        <x:v>Tracks reasoning techniques and evaluation ideas that influence agent capability.</x:v>
      </x:c>
      <x:c r="Q10" s="32" t="str">
        <x:v>https://www.jasonwei.net/</x:v>
      </x:c>
      <x:c r="R10" s="32" t="str">
        <x:v>https://openai.com/research/</x:v>
      </x:c>
      <x:c r="S10" s="26" t="n">
        <x:v>4</x:v>
      </x:c>
      <x:c r="T10" s="26" t="n">
        <x:v>5</x:v>
      </x:c>
      <x:c r="U10" s="26" t="n">
        <x:v>4</x:v>
      </x:c>
      <x:c r="V10" s="26" t="n">
        <x:v>4</x:v>
      </x:c>
      <x:c r="W10" s="26" t="n">
        <x:v>5</x:v>
      </x:c>
    </x:row>
    <x:row r="11" ht="50" customHeight="1">
      <x:c r="A11" s="26" t="n">
        <x:v>10</x:v>
      </x:c>
      <x:c r="B11" s="28" t="n">
        <x:f>ROUND((S11*Scoring_Model!$B$4+T11*Scoring_Model!$B$5+U11*Scoring_Model!$B$6+V11*Scoring_Model!$B$7+W11*Scoring_Model!$B$8)/Scoring_Model!$B$9*Scoring_Model!$B$10,1)</x:f>
        <x:v>85</x:v>
      </x:c>
      <x:c r="C11" s="20" t="str">
        <x:f>IF(B11&gt;=Scoring_Model!$B$11,"T1",IF(B11&gt;=Scoring_Model!$B$12,"T2","T3"))</x:f>
        <x:v>T3</x:v>
      </x:c>
      <x:c r="D11" s="20" t="str">
        <x:v>OpenAI / Codex</x:v>
      </x:c>
      <x:c r="E11" s="20" t="str">
        <x:v>Hyung Won Chung</x:v>
      </x:c>
      <x:c r="F11" s="20" t="str">
        <x:v>OpenAI</x:v>
      </x:c>
      <x:c r="G11" s="20" t="str">
        <x:v>Research on reasoning/post-training</x:v>
      </x:c>
      <x:c r="H11" s="20" t="str">
        <x:v>instruction tuning, reasoning, model behavior</x:v>
      </x:c>
      <x:c r="I11" s="20" t="str">
        <x:v>Yes</x:v>
      </x:c>
      <x:c r="J11" s="20" t="str">
        <x:v>Papers, X, lab releases</x:v>
      </x:c>
      <x:c r="K11" s="32" t="str">
        <x:v>@hwchung27</x:v>
      </x:c>
      <x:c r="L11" s="20" t="str">
        <x:v>High-confidence handle</x:v>
      </x:c>
      <x:c r="M11" s="20" t="str">
        <x:v>Weekly</x:v>
      </x:c>
      <x:c r="N11" s="20" t="str">
        <x:v>Medium</x:v>
      </x:c>
      <x:c r="O11" s="30" t="str">
        <x:v>2026-07-13</x:v>
      </x:c>
      <x:c r="P11" s="20" t="str">
        <x:v>High-value model-training signal relevant to tool use and agent reliability.</x:v>
      </x:c>
      <x:c r="Q11" s="32" t="str">
        <x:v>https://scholar.google.com/citations?user=3-HgesAAAAAJ</x:v>
      </x:c>
      <x:c r="R11" s="32" t="str">
        <x:v>https://openai.com/research/</x:v>
      </x:c>
      <x:c r="S11" s="26" t="n">
        <x:v>4</x:v>
      </x:c>
      <x:c r="T11" s="26" t="n">
        <x:v>5</x:v>
      </x:c>
      <x:c r="U11" s="26" t="n">
        <x:v>4</x:v>
      </x:c>
      <x:c r="V11" s="26" t="n">
        <x:v>4</x:v>
      </x:c>
      <x:c r="W11" s="26" t="n">
        <x:v>4</x:v>
      </x:c>
    </x:row>
    <x:row r="12" ht="50" customHeight="1">
      <x:c r="A12" s="26" t="n">
        <x:v>11</x:v>
      </x:c>
      <x:c r="B12" s="28" t="n">
        <x:f>ROUND((S12*Scoring_Model!$B$4+T12*Scoring_Model!$B$5+U12*Scoring_Model!$B$6+V12*Scoring_Model!$B$7+W12*Scoring_Model!$B$8)/Scoring_Model!$B$9*Scoring_Model!$B$10,1)</x:f>
        <x:v>78</x:v>
      </x:c>
      <x:c r="C12" s="20" t="str">
        <x:f>IF(B12&gt;=Scoring_Model!$B$11,"T1",IF(B12&gt;=Scoring_Model!$B$12,"T2","T3"))</x:f>
        <x:v>T3</x:v>
      </x:c>
      <x:c r="D12" s="20" t="str">
        <x:v>OpenAI / Codex</x:v>
      </x:c>
      <x:c r="E12" s="20" t="str">
        <x:v>Noam Shazeer</x:v>
      </x:c>
      <x:c r="F12" s="20" t="str">
        <x:v>OpenAI</x:v>
      </x:c>
      <x:c r="G12" s="20" t="str">
        <x:v>Model systems and architecture research</x:v>
      </x:c>
      <x:c r="H12" s="20" t="str">
        <x:v>model architecture, scaling, efficient inference</x:v>
      </x:c>
      <x:c r="I12" s="20" t="str">
        <x:v>Yes</x:v>
      </x:c>
      <x:c r="J12" s="20" t="str">
        <x:v>Papers, X, official announcements</x:v>
      </x:c>
      <x:c r="K12" s="32" t="str">
        <x:v>@NoamShazeer</x:v>
      </x:c>
      <x:c r="L12" s="20" t="str">
        <x:v>High-confidence handle</x:v>
      </x:c>
      <x:c r="M12" s="20" t="str">
        <x:v>Weekly</x:v>
      </x:c>
      <x:c r="N12" s="20" t="str">
        <x:v>Medium</x:v>
      </x:c>
      <x:c r="O12" s="30" t="str">
        <x:v>2026-07-13</x:v>
      </x:c>
      <x:c r="P12" s="20" t="str">
        <x:v>Model-architecture changes can materially alter agent economics and context behavior.</x:v>
      </x:c>
      <x:c r="Q12" s="32" t="str">
        <x:v>https://x.com/NoamShazeer</x:v>
      </x:c>
      <x:c r="R12" s="32" t="str">
        <x:v>https://openai.com/research/</x:v>
      </x:c>
      <x:c r="S12" s="26" t="n">
        <x:v>4</x:v>
      </x:c>
      <x:c r="T12" s="26" t="n">
        <x:v>4</x:v>
      </x:c>
      <x:c r="U12" s="26" t="n">
        <x:v>4</x:v>
      </x:c>
      <x:c r="V12" s="26" t="n">
        <x:v>3</x:v>
      </x:c>
      <x:c r="W12" s="26" t="n">
        <x:v>5</x:v>
      </x:c>
    </x:row>
    <x:row r="13" ht="50" customHeight="1">
      <x:c r="A13" s="26" t="n">
        <x:v>12</x:v>
      </x:c>
      <x:c r="B13" s="28" t="n">
        <x:f>ROUND((S13*Scoring_Model!$B$4+T13*Scoring_Model!$B$5+U13*Scoring_Model!$B$6+V13*Scoring_Model!$B$7+W13*Scoring_Model!$B$8)/Scoring_Model!$B$9*Scoring_Model!$B$10,1)</x:f>
        <x:v>100</x:v>
      </x:c>
      <x:c r="C13" s="20" t="str">
        <x:f>IF(B13&gt;=Scoring_Model!$B$11,"T1",IF(B13&gt;=Scoring_Model!$B$12,"T2","T3"))</x:f>
        <x:v>T1</x:v>
      </x:c>
      <x:c r="D13" s="20" t="str">
        <x:v>OpenAI / Codex</x:v>
      </x:c>
      <x:c r="E13" s="20" t="str">
        <x:v>Peter Steinberger</x:v>
      </x:c>
      <x:c r="F13" s="20" t="str">
        <x:v>OpenAI; OpenClaw Foundation</x:v>
      </x:c>
      <x:c r="G13" s="20" t="str">
        <x:v>Creator of OpenClaw; personal-agent work</x:v>
      </x:c>
      <x:c r="H13" s="20" t="str">
        <x:v>local agents, persistent assistants, tool ecosystems</x:v>
      </x:c>
      <x:c r="I13" s="20" t="str">
        <x:v>Yes</x:v>
      </x:c>
      <x:c r="J13" s="20" t="str">
        <x:v>Personal blog, OpenClaw releases/PRs, X replies</x:v>
      </x:c>
      <x:c r="K13" s="32" t="str">
        <x:v>@steipete</x:v>
      </x:c>
      <x:c r="L13" s="20" t="str">
        <x:v>Verified</x:v>
      </x:c>
      <x:c r="M13" s="20" t="str">
        <x:v>Daily</x:v>
      </x:c>
      <x:c r="N13" s="20" t="str">
        <x:v>High</x:v>
      </x:c>
      <x:c r="O13" s="30" t="str">
        <x:v>2026-07-13</x:v>
      </x:c>
      <x:c r="P13" s="20" t="str">
        <x:v>Direct signal on local/persistent agent architecture and rapid open-source experimentation.</x:v>
      </x:c>
      <x:c r="Q13" s="32" t="str">
        <x:v>https://steipete.me/posts/2026/openclaw</x:v>
      </x:c>
      <x:c r="R13" s="32" t="str">
        <x:v>https://github.com/openclaw/openclaw</x:v>
      </x:c>
      <x:c r="S13" s="26" t="n">
        <x:v>5</x:v>
      </x:c>
      <x:c r="T13" s="26" t="n">
        <x:v>5</x:v>
      </x:c>
      <x:c r="U13" s="26" t="n">
        <x:v>5</x:v>
      </x:c>
      <x:c r="V13" s="26" t="n">
        <x:v>5</x:v>
      </x:c>
      <x:c r="W13" s="26" t="n">
        <x:v>5</x:v>
      </x:c>
    </x:row>
    <x:row r="14" ht="50" customHeight="1">
      <x:c r="A14" s="26" t="n">
        <x:v>13</x:v>
      </x:c>
      <x:c r="B14" s="28" t="n">
        <x:f>ROUND((S14*Scoring_Model!$B$4+T14*Scoring_Model!$B$5+U14*Scoring_Model!$B$6+V14*Scoring_Model!$B$7+W14*Scoring_Model!$B$8)/Scoring_Model!$B$9*Scoring_Model!$B$10,1)</x:f>
        <x:v>100</x:v>
      </x:c>
      <x:c r="C14" s="20" t="str">
        <x:f>IF(B14&gt;=Scoring_Model!$B$11,"T1",IF(B14&gt;=Scoring_Model!$B$12,"T2","T3"))</x:f>
        <x:v>T1</x:v>
      </x:c>
      <x:c r="D14" s="20" t="str">
        <x:v>Anthropic / Claude</x:v>
      </x:c>
      <x:c r="E14" s="20" t="str">
        <x:v>Prithvi Rajasekaran</x:v>
      </x:c>
      <x:c r="F14" s="20" t="str">
        <x:v>Anthropic Applied AI</x:v>
      </x:c>
      <x:c r="G14" s="20" t="str">
        <x:v>Context-engineering author</x:v>
      </x:c>
      <x:c r="H14" s="20" t="str">
        <x:v>context selection, compaction, memory, multi-agent research</x:v>
      </x:c>
      <x:c r="I14" s="20" t="str">
        <x:v>Yes</x:v>
      </x:c>
      <x:c r="J14" s="20" t="str">
        <x:v>Anthropic engineering posts; authored materials</x:v>
      </x:c>
      <x:c r="K14" s="32" t="str"/>
      <x:c r="L14" s="20" t="str">
        <x:v>Not resolved</x:v>
      </x:c>
      <x:c r="M14" s="20" t="str">
        <x:v>On new post</x:v>
      </x:c>
      <x:c r="N14" s="20" t="str">
        <x:v>High</x:v>
      </x:c>
      <x:c r="O14" s="30" t="str">
        <x:v>2026-07-13</x:v>
      </x:c>
      <x:c r="P14" s="20" t="str">
        <x:v>Lead author on practical context-engineering patterns for long-horizon agents.</x:v>
      </x:c>
      <x:c r="Q14" s="32" t="str">
        <x:v>https://www.anthropic.com/engineering/effective-context-engineering-for-ai-agents</x:v>
      </x:c>
      <x:c r="R14" s="32" t="str">
        <x:v>https://www.anthropic.com/engineering</x:v>
      </x:c>
      <x:c r="S14" s="26" t="n">
        <x:v>5</x:v>
      </x:c>
      <x:c r="T14" s="26" t="n">
        <x:v>5</x:v>
      </x:c>
      <x:c r="U14" s="26" t="n">
        <x:v>5</x:v>
      </x:c>
      <x:c r="V14" s="26" t="n">
        <x:v>5</x:v>
      </x:c>
      <x:c r="W14" s="26" t="n">
        <x:v>5</x:v>
      </x:c>
    </x:row>
    <x:row r="15" ht="50" customHeight="1">
      <x:c r="A15" s="26" t="n">
        <x:v>14</x:v>
      </x:c>
      <x:c r="B15" s="28" t="n">
        <x:f>ROUND((S15*Scoring_Model!$B$4+T15*Scoring_Model!$B$5+U15*Scoring_Model!$B$6+V15*Scoring_Model!$B$7+W15*Scoring_Model!$B$8)/Scoring_Model!$B$9*Scoring_Model!$B$10,1)</x:f>
        <x:v>96</x:v>
      </x:c>
      <x:c r="C15" s="20" t="str">
        <x:f>IF(B15&gt;=Scoring_Model!$B$11,"T1",IF(B15&gt;=Scoring_Model!$B$12,"T2","T3"))</x:f>
        <x:v>T2</x:v>
      </x:c>
      <x:c r="D15" s="20" t="str">
        <x:v>Anthropic / Claude</x:v>
      </x:c>
      <x:c r="E15" s="20" t="str">
        <x:v>Ethan Dixon</x:v>
      </x:c>
      <x:c r="F15" s="20" t="str">
        <x:v>Anthropic Applied AI</x:v>
      </x:c>
      <x:c r="G15" s="20" t="str">
        <x:v>Context-engineering author</x:v>
      </x:c>
      <x:c r="H15" s="20" t="str">
        <x:v>context windows, note-taking, compaction</x:v>
      </x:c>
      <x:c r="I15" s="20" t="str">
        <x:v>Yes</x:v>
      </x:c>
      <x:c r="J15" s="20" t="str">
        <x:v>Anthropic engineering posts</x:v>
      </x:c>
      <x:c r="K15" s="32" t="str"/>
      <x:c r="L15" s="20" t="str">
        <x:v>Not resolved</x:v>
      </x:c>
      <x:c r="M15" s="20" t="str">
        <x:v>On new post</x:v>
      </x:c>
      <x:c r="N15" s="20" t="str">
        <x:v>High</x:v>
      </x:c>
      <x:c r="O15" s="30" t="str">
        <x:v>2026-07-13</x:v>
      </x:c>
      <x:c r="P15" s="20" t="str">
        <x:v>Co-authored Anthropic's production-oriented context-engineering guidance.</x:v>
      </x:c>
      <x:c r="Q15" s="32" t="str">
        <x:v>https://www.anthropic.com/engineering/effective-context-engineering-for-ai-agents</x:v>
      </x:c>
      <x:c r="R15" s="32" t="str">
        <x:v>https://www.anthropic.com/engineering</x:v>
      </x:c>
      <x:c r="S15" s="26" t="n">
        <x:v>5</x:v>
      </x:c>
      <x:c r="T15" s="26" t="n">
        <x:v>5</x:v>
      </x:c>
      <x:c r="U15" s="26" t="n">
        <x:v>4</x:v>
      </x:c>
      <x:c r="V15" s="26" t="n">
        <x:v>5</x:v>
      </x:c>
      <x:c r="W15" s="26" t="n">
        <x:v>5</x:v>
      </x:c>
    </x:row>
    <x:row r="16" ht="50" customHeight="1">
      <x:c r="A16" s="26" t="n">
        <x:v>15</x:v>
      </x:c>
      <x:c r="B16" s="28" t="n">
        <x:f>ROUND((S16*Scoring_Model!$B$4+T16*Scoring_Model!$B$5+U16*Scoring_Model!$B$6+V16*Scoring_Model!$B$7+W16*Scoring_Model!$B$8)/Scoring_Model!$B$9*Scoring_Model!$B$10,1)</x:f>
        <x:v>100</x:v>
      </x:c>
      <x:c r="C16" s="20" t="str">
        <x:f>IF(B16&gt;=Scoring_Model!$B$11,"T1",IF(B16&gt;=Scoring_Model!$B$12,"T2","T3"))</x:f>
        <x:v>T1</x:v>
      </x:c>
      <x:c r="D16" s="20" t="str">
        <x:v>Anthropic / Claude</x:v>
      </x:c>
      <x:c r="E16" s="20" t="str">
        <x:v>Ken Aizawa</x:v>
      </x:c>
      <x:c r="F16" s="20" t="str">
        <x:v>Anthropic</x:v>
      </x:c>
      <x:c r="G16" s="20" t="str">
        <x:v>Agent-tool design author</x:v>
      </x:c>
      <x:c r="H16" s="20" t="str">
        <x:v>tool schemas, affordances, eval-driven tool improvement</x:v>
      </x:c>
      <x:c r="I16" s="20" t="str">
        <x:v>Yes</x:v>
      </x:c>
      <x:c r="J16" s="20" t="str">
        <x:v>Anthropic engineering posts; X/GitHub if available</x:v>
      </x:c>
      <x:c r="K16" s="32" t="str"/>
      <x:c r="L16" s="20" t="str">
        <x:v>Not resolved</x:v>
      </x:c>
      <x:c r="M16" s="20" t="str">
        <x:v>On new post</x:v>
      </x:c>
      <x:c r="N16" s="20" t="str">
        <x:v>High</x:v>
      </x:c>
      <x:c r="O16" s="30" t="str">
        <x:v>2026-07-13</x:v>
      </x:c>
      <x:c r="P16" s="20" t="str">
        <x:v>Authored one of the strongest public descriptions of how Anthropic designs and evaluates tools for agents.</x:v>
      </x:c>
      <x:c r="Q16" s="32" t="str">
        <x:v>https://www.anthropic.com/engineering/writing-tools-for-agents</x:v>
      </x:c>
      <x:c r="R16" s="32" t="str">
        <x:v>https://www.anthropic.com/engineering</x:v>
      </x:c>
      <x:c r="S16" s="26" t="n">
        <x:v>5</x:v>
      </x:c>
      <x:c r="T16" s="26" t="n">
        <x:v>5</x:v>
      </x:c>
      <x:c r="U16" s="26" t="n">
        <x:v>5</x:v>
      </x:c>
      <x:c r="V16" s="26" t="n">
        <x:v>5</x:v>
      </x:c>
      <x:c r="W16" s="26" t="n">
        <x:v>5</x:v>
      </x:c>
    </x:row>
    <x:row r="17" ht="50" customHeight="1">
      <x:c r="A17" s="26" t="n">
        <x:v>16</x:v>
      </x:c>
      <x:c r="B17" s="28" t="n">
        <x:f>ROUND((S17*Scoring_Model!$B$4+T17*Scoring_Model!$B$5+U17*Scoring_Model!$B$6+V17*Scoring_Model!$B$7+W17*Scoring_Model!$B$8)/Scoring_Model!$B$9*Scoring_Model!$B$10,1)</x:f>
        <x:v>100</x:v>
      </x:c>
      <x:c r="C17" s="20" t="str">
        <x:f>IF(B17&gt;=Scoring_Model!$B$11,"T1",IF(B17&gt;=Scoring_Model!$B$12,"T2","T3"))</x:f>
        <x:v>T1</x:v>
      </x:c>
      <x:c r="D17" s="20" t="str">
        <x:v>Anthropic / Claude</x:v>
      </x:c>
      <x:c r="E17" s="20" t="str">
        <x:v>Adam Jones</x:v>
      </x:c>
      <x:c r="F17" s="20" t="str">
        <x:v>Anthropic MCP</x:v>
      </x:c>
      <x:c r="G17" s="20" t="str">
        <x:v>MCP and code-execution engineering</x:v>
      </x:c>
      <x:c r="H17" s="20" t="str">
        <x:v>MCP, token efficiency, code execution, skills</x:v>
      </x:c>
      <x:c r="I17" s="20" t="str">
        <x:v>Yes</x:v>
      </x:c>
      <x:c r="J17" s="20" t="str">
        <x:v>Anthropic engineering posts; MCP repositories</x:v>
      </x:c>
      <x:c r="K17" s="32" t="str"/>
      <x:c r="L17" s="20" t="str">
        <x:v>Not resolved</x:v>
      </x:c>
      <x:c r="M17" s="20" t="str">
        <x:v>On new post/release</x:v>
      </x:c>
      <x:c r="N17" s="20" t="str">
        <x:v>High</x:v>
      </x:c>
      <x:c r="O17" s="30" t="str">
        <x:v>2026-07-13</x:v>
      </x:c>
      <x:c r="P17" s="20" t="str">
        <x:v>Co-authored the MCP code-execution architecture and its context-efficiency trade-offs.</x:v>
      </x:c>
      <x:c r="Q17" s="32" t="str">
        <x:v>https://www.anthropic.com/engineering/code-execution-with-mcp</x:v>
      </x:c>
      <x:c r="R17" s="32" t="str">
        <x:v>https://github.com/modelcontextprotocol</x:v>
      </x:c>
      <x:c r="S17" s="26" t="n">
        <x:v>5</x:v>
      </x:c>
      <x:c r="T17" s="26" t="n">
        <x:v>5</x:v>
      </x:c>
      <x:c r="U17" s="26" t="n">
        <x:v>5</x:v>
      </x:c>
      <x:c r="V17" s="26" t="n">
        <x:v>5</x:v>
      </x:c>
      <x:c r="W17" s="26" t="n">
        <x:v>5</x:v>
      </x:c>
    </x:row>
    <x:row r="18" ht="50" customHeight="1">
      <x:c r="A18" s="26" t="n">
        <x:v>17</x:v>
      </x:c>
      <x:c r="B18" s="28" t="n">
        <x:f>ROUND((S18*Scoring_Model!$B$4+T18*Scoring_Model!$B$5+U18*Scoring_Model!$B$6+V18*Scoring_Model!$B$7+W18*Scoring_Model!$B$8)/Scoring_Model!$B$9*Scoring_Model!$B$10,1)</x:f>
        <x:v>100</x:v>
      </x:c>
      <x:c r="C18" s="20" t="str">
        <x:f>IF(B18&gt;=Scoring_Model!$B$11,"T1",IF(B18&gt;=Scoring_Model!$B$12,"T2","T3"))</x:f>
        <x:v>T1</x:v>
      </x:c>
      <x:c r="D18" s="20" t="str">
        <x:v>Anthropic / Claude</x:v>
      </x:c>
      <x:c r="E18" s="20" t="str">
        <x:v>Conor Kelly</x:v>
      </x:c>
      <x:c r="F18" s="20" t="str">
        <x:v>Anthropic</x:v>
      </x:c>
      <x:c r="G18" s="20" t="str">
        <x:v>MCP and code-execution engineering</x:v>
      </x:c>
      <x:c r="H18" s="20" t="str">
        <x:v>MCP, agent runtime, state persistence</x:v>
      </x:c>
      <x:c r="I18" s="20" t="str">
        <x:v>Yes</x:v>
      </x:c>
      <x:c r="J18" s="20" t="str">
        <x:v>Anthropic engineering posts; MCP repositories</x:v>
      </x:c>
      <x:c r="K18" s="32" t="str"/>
      <x:c r="L18" s="20" t="str">
        <x:v>Not resolved</x:v>
      </x:c>
      <x:c r="M18" s="20" t="str">
        <x:v>On new post/release</x:v>
      </x:c>
      <x:c r="N18" s="20" t="str">
        <x:v>High</x:v>
      </x:c>
      <x:c r="O18" s="30" t="str">
        <x:v>2026-07-13</x:v>
      </x:c>
      <x:c r="P18" s="20" t="str">
        <x:v>Co-authored practical architecture for combining MCP with executable code.</x:v>
      </x:c>
      <x:c r="Q18" s="32" t="str">
        <x:v>https://www.anthropic.com/engineering/code-execution-with-mcp</x:v>
      </x:c>
      <x:c r="R18" s="32" t="str">
        <x:v>https://github.com/modelcontextprotocol</x:v>
      </x:c>
      <x:c r="S18" s="26" t="n">
        <x:v>5</x:v>
      </x:c>
      <x:c r="T18" s="26" t="n">
        <x:v>5</x:v>
      </x:c>
      <x:c r="U18" s="26" t="n">
        <x:v>5</x:v>
      </x:c>
      <x:c r="V18" s="26" t="n">
        <x:v>5</x:v>
      </x:c>
      <x:c r="W18" s="26" t="n">
        <x:v>5</x:v>
      </x:c>
    </x:row>
    <x:row r="19" ht="50" customHeight="1">
      <x:c r="A19" s="26" t="n">
        <x:v>18</x:v>
      </x:c>
      <x:c r="B19" s="28" t="n">
        <x:f>ROUND((S19*Scoring_Model!$B$4+T19*Scoring_Model!$B$5+U19*Scoring_Model!$B$6+V19*Scoring_Model!$B$7+W19*Scoring_Model!$B$8)/Scoring_Model!$B$9*Scoring_Model!$B$10,1)</x:f>
        <x:v>96</x:v>
      </x:c>
      <x:c r="C19" s="20" t="str">
        <x:f>IF(B19&gt;=Scoring_Model!$B$11,"T1",IF(B19&gt;=Scoring_Model!$B$12,"T2","T3"))</x:f>
        <x:v>T2</x:v>
      </x:c>
      <x:c r="D19" s="20" t="str">
        <x:v>Anthropic / Claude</x:v>
      </x:c>
      <x:c r="E19" s="20" t="str">
        <x:v>Barry Zhang</x:v>
      </x:c>
      <x:c r="F19" s="20" t="str">
        <x:v>Anthropic Research</x:v>
      </x:c>
      <x:c r="G19" s="20" t="str">
        <x:v>Research contributor to agent-tool design</x:v>
      </x:c>
      <x:c r="H19" s="20" t="str">
        <x:v>tool use, evaluations, model behavior</x:v>
      </x:c>
      <x:c r="I19" s="20" t="str">
        <x:v>Yes</x:v>
      </x:c>
      <x:c r="J19" s="20" t="str">
        <x:v>Papers, Anthropic engineering acknowledgements, X</x:v>
      </x:c>
      <x:c r="K19" s="32" t="str"/>
      <x:c r="L19" s="20" t="str">
        <x:v>Not resolved</x:v>
      </x:c>
      <x:c r="M19" s="20" t="str">
        <x:v>Weekly</x:v>
      </x:c>
      <x:c r="N19" s="20" t="str">
        <x:v>High</x:v>
      </x:c>
      <x:c r="O19" s="30" t="str">
        <x:v>2026-07-13</x:v>
      </x:c>
      <x:c r="P19" s="20" t="str">
        <x:v>Behind-the-scenes research contributor named on Anthropic's agent-tool work.</x:v>
      </x:c>
      <x:c r="Q19" s="32" t="str">
        <x:v>https://www.anthropic.com/engineering/writing-tools-for-agents</x:v>
      </x:c>
      <x:c r="R19" s="32" t="str">
        <x:v>https://www.anthropic.com/research</x:v>
      </x:c>
      <x:c r="S19" s="26" t="n">
        <x:v>5</x:v>
      </x:c>
      <x:c r="T19" s="26" t="n">
        <x:v>5</x:v>
      </x:c>
      <x:c r="U19" s="26" t="n">
        <x:v>4</x:v>
      </x:c>
      <x:c r="V19" s="26" t="n">
        <x:v>5</x:v>
      </x:c>
      <x:c r="W19" s="26" t="n">
        <x:v>5</x:v>
      </x:c>
    </x:row>
    <x:row r="20" ht="50" customHeight="1">
      <x:c r="A20" s="26" t="n">
        <x:v>19</x:v>
      </x:c>
      <x:c r="B20" s="28" t="n">
        <x:f>ROUND((S20*Scoring_Model!$B$4+T20*Scoring_Model!$B$5+U20*Scoring_Model!$B$6+V20*Scoring_Model!$B$7+W20*Scoring_Model!$B$8)/Scoring_Model!$B$9*Scoring_Model!$B$10,1)</x:f>
        <x:v>91</x:v>
      </x:c>
      <x:c r="C20" s="20" t="str">
        <x:f>IF(B20&gt;=Scoring_Model!$B$11,"T1",IF(B20&gt;=Scoring_Model!$B$12,"T2","T3"))</x:f>
        <x:v>T2</x:v>
      </x:c>
      <x:c r="D20" s="20" t="str">
        <x:v>Anthropic / Claude</x:v>
      </x:c>
      <x:c r="E20" s="20" t="str">
        <x:v>Zachary Witten</x:v>
      </x:c>
      <x:c r="F20" s="20" t="str">
        <x:v>Anthropic Research</x:v>
      </x:c>
      <x:c r="G20" s="20" t="str">
        <x:v>Research contributor to agent-tool design</x:v>
      </x:c>
      <x:c r="H20" s="20" t="str">
        <x:v>tool use, evaluations, alignment</x:v>
      </x:c>
      <x:c r="I20" s="20" t="str">
        <x:v>Yes</x:v>
      </x:c>
      <x:c r="J20" s="20" t="str">
        <x:v>Papers, Anthropic engineering acknowledgements</x:v>
      </x:c>
      <x:c r="K20" s="32" t="str"/>
      <x:c r="L20" s="20" t="str">
        <x:v>Not resolved</x:v>
      </x:c>
      <x:c r="M20" s="20" t="str">
        <x:v>Weekly</x:v>
      </x:c>
      <x:c r="N20" s="20" t="str">
        <x:v>High</x:v>
      </x:c>
      <x:c r="O20" s="30" t="str">
        <x:v>2026-07-13</x:v>
      </x:c>
      <x:c r="P20" s="20" t="str">
        <x:v>Research contributor on practical agent tool design and evaluation.</x:v>
      </x:c>
      <x:c r="Q20" s="32" t="str">
        <x:v>https://www.anthropic.com/engineering/writing-tools-for-agents</x:v>
      </x:c>
      <x:c r="R20" s="32" t="str">
        <x:v>https://www.anthropic.com/research</x:v>
      </x:c>
      <x:c r="S20" s="26" t="n">
        <x:v>4</x:v>
      </x:c>
      <x:c r="T20" s="26" t="n">
        <x:v>5</x:v>
      </x:c>
      <x:c r="U20" s="26" t="n">
        <x:v>4</x:v>
      </x:c>
      <x:c r="V20" s="26" t="n">
        <x:v>5</x:v>
      </x:c>
      <x:c r="W20" s="26" t="n">
        <x:v>5</x:v>
      </x:c>
    </x:row>
    <x:row r="21" ht="50" customHeight="1">
      <x:c r="A21" s="26" t="n">
        <x:v>20</x:v>
      </x:c>
      <x:c r="B21" s="28" t="n">
        <x:f>ROUND((S21*Scoring_Model!$B$4+T21*Scoring_Model!$B$5+U21*Scoring_Model!$B$6+V21*Scoring_Model!$B$7+W21*Scoring_Model!$B$8)/Scoring_Model!$B$9*Scoring_Model!$B$10,1)</x:f>
        <x:v>100</x:v>
      </x:c>
      <x:c r="C21" s="20" t="str">
        <x:f>IF(B21&gt;=Scoring_Model!$B$11,"T1",IF(B21&gt;=Scoring_Model!$B$12,"T2","T3"))</x:f>
        <x:v>T1</x:v>
      </x:c>
      <x:c r="D21" s="20" t="str">
        <x:v>Anthropic / Claude</x:v>
      </x:c>
      <x:c r="E21" s="20" t="str">
        <x:v>Theodora Chu</x:v>
      </x:c>
      <x:c r="F21" s="20" t="str">
        <x:v>Anthropic MCP</x:v>
      </x:c>
      <x:c r="G21" s="20" t="str">
        <x:v>MCP contributor</x:v>
      </x:c>
      <x:c r="H21" s="20" t="str">
        <x:v>protocol design, tools, permissions</x:v>
      </x:c>
      <x:c r="I21" s="20" t="str">
        <x:v>Yes</x:v>
      </x:c>
      <x:c r="J21" s="20" t="str">
        <x:v>MCP repositories, Anthropic engineering posts</x:v>
      </x:c>
      <x:c r="K21" s="32" t="str"/>
      <x:c r="L21" s="20" t="str">
        <x:v>Not resolved</x:v>
      </x:c>
      <x:c r="M21" s="20" t="str">
        <x:v>On release/PR</x:v>
      </x:c>
      <x:c r="N21" s="20" t="str">
        <x:v>High</x:v>
      </x:c>
      <x:c r="O21" s="30" t="str">
        <x:v>2026-07-13</x:v>
      </x:c>
      <x:c r="P21" s="20" t="str">
        <x:v>Named MCP contributor; useful for protocol-level changes rather than marketing summaries.</x:v>
      </x:c>
      <x:c r="Q21" s="32" t="str">
        <x:v>https://www.anthropic.com/engineering/writing-tools-for-agents</x:v>
      </x:c>
      <x:c r="R21" s="32" t="str">
        <x:v>https://github.com/modelcontextprotocol</x:v>
      </x:c>
      <x:c r="S21" s="26" t="n">
        <x:v>5</x:v>
      </x:c>
      <x:c r="T21" s="26" t="n">
        <x:v>5</x:v>
      </x:c>
      <x:c r="U21" s="26" t="n">
        <x:v>5</x:v>
      </x:c>
      <x:c r="V21" s="26" t="n">
        <x:v>5</x:v>
      </x:c>
      <x:c r="W21" s="26" t="n">
        <x:v>5</x:v>
      </x:c>
    </x:row>
    <x:row r="22" ht="50" customHeight="1">
      <x:c r="A22" s="26" t="n">
        <x:v>21</x:v>
      </x:c>
      <x:c r="B22" s="28" t="n">
        <x:f>ROUND((S22*Scoring_Model!$B$4+T22*Scoring_Model!$B$5+U22*Scoring_Model!$B$6+V22*Scoring_Model!$B$7+W22*Scoring_Model!$B$8)/Scoring_Model!$B$9*Scoring_Model!$B$10,1)</x:f>
        <x:v>100</x:v>
      </x:c>
      <x:c r="C22" s="20" t="str">
        <x:f>IF(B22&gt;=Scoring_Model!$B$11,"T1",IF(B22&gt;=Scoring_Model!$B$12,"T2","T3"))</x:f>
        <x:v>T1</x:v>
      </x:c>
      <x:c r="D22" s="20" t="str">
        <x:v>Anthropic / Claude</x:v>
      </x:c>
      <x:c r="E22" s="20" t="str">
        <x:v>John Welsh</x:v>
      </x:c>
      <x:c r="F22" s="20" t="str">
        <x:v>Anthropic MCP</x:v>
      </x:c>
      <x:c r="G22" s="20" t="str">
        <x:v>MCP contributor</x:v>
      </x:c>
      <x:c r="H22" s="20" t="str">
        <x:v>protocol design, tool contracts</x:v>
      </x:c>
      <x:c r="I22" s="20" t="str">
        <x:v>Yes</x:v>
      </x:c>
      <x:c r="J22" s="20" t="str">
        <x:v>MCP repositories, issues, PR reviews</x:v>
      </x:c>
      <x:c r="K22" s="32" t="str"/>
      <x:c r="L22" s="20" t="str">
        <x:v>Not resolved</x:v>
      </x:c>
      <x:c r="M22" s="20" t="str">
        <x:v>On release/PR</x:v>
      </x:c>
      <x:c r="N22" s="20" t="str">
        <x:v>High</x:v>
      </x:c>
      <x:c r="O22" s="30" t="str">
        <x:v>2026-07-13</x:v>
      </x:c>
      <x:c r="P22" s="20" t="str">
        <x:v>Named MCP contributor likely to surface implementation trade-offs in code and reviews.</x:v>
      </x:c>
      <x:c r="Q22" s="32" t="str">
        <x:v>https://www.anthropic.com/engineering/writing-tools-for-agents</x:v>
      </x:c>
      <x:c r="R22" s="32" t="str">
        <x:v>https://github.com/modelcontextprotocol</x:v>
      </x:c>
      <x:c r="S22" s="26" t="n">
        <x:v>5</x:v>
      </x:c>
      <x:c r="T22" s="26" t="n">
        <x:v>5</x:v>
      </x:c>
      <x:c r="U22" s="26" t="n">
        <x:v>5</x:v>
      </x:c>
      <x:c r="V22" s="26" t="n">
        <x:v>5</x:v>
      </x:c>
      <x:c r="W22" s="26" t="n">
        <x:v>5</x:v>
      </x:c>
    </x:row>
    <x:row r="23" ht="50" customHeight="1">
      <x:c r="A23" s="26" t="n">
        <x:v>22</x:v>
      </x:c>
      <x:c r="B23" s="28" t="n">
        <x:f>ROUND((S23*Scoring_Model!$B$4+T23*Scoring_Model!$B$5+U23*Scoring_Model!$B$6+V23*Scoring_Model!$B$7+W23*Scoring_Model!$B$8)/Scoring_Model!$B$9*Scoring_Model!$B$10,1)</x:f>
        <x:v>100</x:v>
      </x:c>
      <x:c r="C23" s="20" t="str">
        <x:f>IF(B23&gt;=Scoring_Model!$B$11,"T1",IF(B23&gt;=Scoring_Model!$B$12,"T2","T3"))</x:f>
        <x:v>T1</x:v>
      </x:c>
      <x:c r="D23" s="20" t="str">
        <x:v>Anthropic / Claude</x:v>
      </x:c>
      <x:c r="E23" s="20" t="str">
        <x:v>David Soria Parra</x:v>
      </x:c>
      <x:c r="F23" s="20" t="str">
        <x:v>Anthropic MCP</x:v>
      </x:c>
      <x:c r="G23" s="20" t="str">
        <x:v>MCP contributor</x:v>
      </x:c>
      <x:c r="H23" s="20" t="str">
        <x:v>protocol design, agent interoperability</x:v>
      </x:c>
      <x:c r="I23" s="20" t="str">
        <x:v>Yes</x:v>
      </x:c>
      <x:c r="J23" s="20" t="str">
        <x:v>MCP repositories, issues, PR reviews</x:v>
      </x:c>
      <x:c r="K23" s="32" t="str"/>
      <x:c r="L23" s="20" t="str">
        <x:v>Not resolved</x:v>
      </x:c>
      <x:c r="M23" s="20" t="str">
        <x:v>On release/PR</x:v>
      </x:c>
      <x:c r="N23" s="20" t="str">
        <x:v>High</x:v>
      </x:c>
      <x:c r="O23" s="30" t="str">
        <x:v>2026-07-13</x:v>
      </x:c>
      <x:c r="P23" s="20" t="str">
        <x:v>Named contributor on MCP/tool design; monitor source-level decisions.</x:v>
      </x:c>
      <x:c r="Q23" s="32" t="str">
        <x:v>https://www.anthropic.com/engineering/writing-tools-for-agents</x:v>
      </x:c>
      <x:c r="R23" s="32" t="str">
        <x:v>https://github.com/modelcontextprotocol</x:v>
      </x:c>
      <x:c r="S23" s="26" t="n">
        <x:v>5</x:v>
      </x:c>
      <x:c r="T23" s="26" t="n">
        <x:v>5</x:v>
      </x:c>
      <x:c r="U23" s="26" t="n">
        <x:v>5</x:v>
      </x:c>
      <x:c r="V23" s="26" t="n">
        <x:v>5</x:v>
      </x:c>
      <x:c r="W23" s="26" t="n">
        <x:v>5</x:v>
      </x:c>
    </x:row>
    <x:row r="24" ht="50" customHeight="1">
      <x:c r="A24" s="26" t="n">
        <x:v>23</x:v>
      </x:c>
      <x:c r="B24" s="28" t="n">
        <x:f>ROUND((S24*Scoring_Model!$B$4+T24*Scoring_Model!$B$5+U24*Scoring_Model!$B$6+V24*Scoring_Model!$B$7+W24*Scoring_Model!$B$8)/Scoring_Model!$B$9*Scoring_Model!$B$10,1)</x:f>
        <x:v>96</x:v>
      </x:c>
      <x:c r="C24" s="20" t="str">
        <x:f>IF(B24&gt;=Scoring_Model!$B$11,"T1",IF(B24&gt;=Scoring_Model!$B$12,"T2","T3"))</x:f>
        <x:v>T2</x:v>
      </x:c>
      <x:c r="D24" s="20" t="str">
        <x:v>Anthropic / Claude</x:v>
      </x:c>
      <x:c r="E24" s="20" t="str">
        <x:v>Christian Ryan</x:v>
      </x:c>
      <x:c r="F24" s="20" t="str">
        <x:v>Anthropic Applied AI</x:v>
      </x:c>
      <x:c r="G24" s="20" t="str">
        <x:v>Applied AI contributor</x:v>
      </x:c>
      <x:c r="H24" s="20" t="str">
        <x:v>agent workflows, tool design, production patterns</x:v>
      </x:c>
      <x:c r="I24" s="20" t="str">
        <x:v>Yes</x:v>
      </x:c>
      <x:c r="J24" s="20" t="str">
        <x:v>Anthropic engineering posts</x:v>
      </x:c>
      <x:c r="K24" s="32" t="str"/>
      <x:c r="L24" s="20" t="str">
        <x:v>Not resolved</x:v>
      </x:c>
      <x:c r="M24" s="20" t="str">
        <x:v>On new post</x:v>
      </x:c>
      <x:c r="N24" s="20" t="str">
        <x:v>High</x:v>
      </x:c>
      <x:c r="O24" s="30" t="str">
        <x:v>2026-07-13</x:v>
      </x:c>
      <x:c r="P24" s="20" t="str">
        <x:v>Applied AI contributor on agent-tool design; likely high signal for practical implementation.</x:v>
      </x:c>
      <x:c r="Q24" s="32" t="str">
        <x:v>https://www.anthropic.com/engineering/writing-tools-for-agents</x:v>
      </x:c>
      <x:c r="R24" s="32" t="str">
        <x:v>https://www.anthropic.com/engineering</x:v>
      </x:c>
      <x:c r="S24" s="26" t="n">
        <x:v>5</x:v>
      </x:c>
      <x:c r="T24" s="26" t="n">
        <x:v>5</x:v>
      </x:c>
      <x:c r="U24" s="26" t="n">
        <x:v>4</x:v>
      </x:c>
      <x:c r="V24" s="26" t="n">
        <x:v>5</x:v>
      </x:c>
      <x:c r="W24" s="26" t="n">
        <x:v>5</x:v>
      </x:c>
    </x:row>
    <x:row r="25" ht="50" customHeight="1">
      <x:c r="A25" s="26" t="n">
        <x:v>24</x:v>
      </x:c>
      <x:c r="B25" s="28" t="n">
        <x:f>ROUND((S25*Scoring_Model!$B$4+T25*Scoring_Model!$B$5+U25*Scoring_Model!$B$6+V25*Scoring_Model!$B$7+W25*Scoring_Model!$B$8)/Scoring_Model!$B$9*Scoring_Model!$B$10,1)</x:f>
        <x:v>96</x:v>
      </x:c>
      <x:c r="C25" s="20" t="str">
        <x:f>IF(B25&gt;=Scoring_Model!$B$11,"T1",IF(B25&gt;=Scoring_Model!$B$12,"T2","T3"))</x:f>
        <x:v>T2</x:v>
      </x:c>
      <x:c r="D25" s="20" t="str">
        <x:v>Anthropic / Claude</x:v>
      </x:c>
      <x:c r="E25" s="20" t="str">
        <x:v>Alexander Bricken</x:v>
      </x:c>
      <x:c r="F25" s="20" t="str">
        <x:v>Anthropic Applied AI</x:v>
      </x:c>
      <x:c r="G25" s="20" t="str">
        <x:v>Applied AI contributor</x:v>
      </x:c>
      <x:c r="H25" s="20" t="str">
        <x:v>agent workflows, evaluation, tools</x:v>
      </x:c>
      <x:c r="I25" s="20" t="str">
        <x:v>Yes</x:v>
      </x:c>
      <x:c r="J25" s="20" t="str">
        <x:v>Anthropic engineering posts; papers</x:v>
      </x:c>
      <x:c r="K25" s="32" t="str"/>
      <x:c r="L25" s="20" t="str">
        <x:v>Not resolved</x:v>
      </x:c>
      <x:c r="M25" s="20" t="str">
        <x:v>On new post</x:v>
      </x:c>
      <x:c r="N25" s="20" t="str">
        <x:v>High</x:v>
      </x:c>
      <x:c r="O25" s="30" t="str">
        <x:v>2026-07-13</x:v>
      </x:c>
      <x:c r="P25" s="20" t="str">
        <x:v>Named applied-AI contributor on effective tool construction.</x:v>
      </x:c>
      <x:c r="Q25" s="32" t="str">
        <x:v>https://www.anthropic.com/engineering/writing-tools-for-agents</x:v>
      </x:c>
      <x:c r="R25" s="32" t="str">
        <x:v>https://www.anthropic.com/engineering</x:v>
      </x:c>
      <x:c r="S25" s="26" t="n">
        <x:v>5</x:v>
      </x:c>
      <x:c r="T25" s="26" t="n">
        <x:v>5</x:v>
      </x:c>
      <x:c r="U25" s="26" t="n">
        <x:v>4</x:v>
      </x:c>
      <x:c r="V25" s="26" t="n">
        <x:v>5</x:v>
      </x:c>
      <x:c r="W25" s="26" t="n">
        <x:v>5</x:v>
      </x:c>
    </x:row>
    <x:row r="26" ht="50" customHeight="1">
      <x:c r="A26" s="26" t="n">
        <x:v>25</x:v>
      </x:c>
      <x:c r="B26" s="28" t="n">
        <x:f>ROUND((S26*Scoring_Model!$B$4+T26*Scoring_Model!$B$5+U26*Scoring_Model!$B$6+V26*Scoring_Model!$B$7+W26*Scoring_Model!$B$8)/Scoring_Model!$B$9*Scoring_Model!$B$10,1)</x:f>
        <x:v>83</x:v>
      </x:c>
      <x:c r="C26" s="20" t="str">
        <x:f>IF(B26&gt;=Scoring_Model!$B$11,"T1",IF(B26&gt;=Scoring_Model!$B$12,"T2","T3"))</x:f>
        <x:v>T3</x:v>
      </x:c>
      <x:c r="D26" s="20" t="str">
        <x:v>Anthropic / Claude</x:v>
      </x:c>
      <x:c r="E26" s="20" t="str">
        <x:v>Andrej Karpathy</x:v>
      </x:c>
      <x:c r="F26" s="20" t="str">
        <x:v>Anthropic</x:v>
      </x:c>
      <x:c r="G26" s="20" t="str">
        <x:v>Technical researcher/builder; AI education and agents</x:v>
      </x:c>
      <x:c r="H26" s="20" t="str">
        <x:v>LLM systems, coding agents, model behavior</x:v>
      </x:c>
      <x:c r="I26" s="20" t="str">
        <x:v>Mixed</x:v>
      </x:c>
      <x:c r="J26" s="20" t="str">
        <x:v>Personal X, talks, code, Anthropic work</x:v>
      </x:c>
      <x:c r="K26" s="32" t="str">
        <x:v>@karpathy</x:v>
      </x:c>
      <x:c r="L26" s="20" t="str">
        <x:v>Verified</x:v>
      </x:c>
      <x:c r="M26" s="20" t="str">
        <x:v>Daily</x:v>
      </x:c>
      <x:c r="N26" s="20" t="str">
        <x:v>High</x:v>
      </x:c>
      <x:c r="O26" s="30" t="str">
        <x:v>2026-07-13</x:v>
      </x:c>
      <x:c r="P26" s="20" t="str">
        <x:v>Rare but unusually high-leverage technical synthesis and implementation intuition.</x:v>
      </x:c>
      <x:c r="Q26" s="32" t="str">
        <x:v>https://x.com/karpathy</x:v>
      </x:c>
      <x:c r="R26" s="32" t="str">
        <x:v>https://www.anthropic.com/research</x:v>
      </x:c>
      <x:c r="S26" s="26" t="n">
        <x:v>5</x:v>
      </x:c>
      <x:c r="T26" s="26" t="n">
        <x:v>4</x:v>
      </x:c>
      <x:c r="U26" s="26" t="n">
        <x:v>4</x:v>
      </x:c>
      <x:c r="V26" s="26" t="n">
        <x:v>3</x:v>
      </x:c>
      <x:c r="W26" s="26" t="n">
        <x:v>5</x:v>
      </x:c>
    </x:row>
    <x:row r="27" ht="50" customHeight="1">
      <x:c r="A27" s="26" t="n">
        <x:v>26</x:v>
      </x:c>
      <x:c r="B27" s="28" t="n">
        <x:f>ROUND((S27*Scoring_Model!$B$4+T27*Scoring_Model!$B$5+U27*Scoring_Model!$B$6+V27*Scoring_Model!$B$7+W27*Scoring_Model!$B$8)/Scoring_Model!$B$9*Scoring_Model!$B$10,1)</x:f>
        <x:v>92</x:v>
      </x:c>
      <x:c r="C27" s="20" t="str">
        <x:f>IF(B27&gt;=Scoring_Model!$B$11,"T1",IF(B27&gt;=Scoring_Model!$B$12,"T2","T3"))</x:f>
        <x:v>T2</x:v>
      </x:c>
      <x:c r="D27" s="20" t="str">
        <x:v>Anthropic / Claude</x:v>
      </x:c>
      <x:c r="E27" s="20" t="str">
        <x:v>Nicholas Carlini</x:v>
      </x:c>
      <x:c r="F27" s="20" t="str">
        <x:v>Anthropic</x:v>
      </x:c>
      <x:c r="G27" s="20" t="str">
        <x:v>Security and adversarial ML researcher</x:v>
      </x:c>
      <x:c r="H27" s="20" t="str">
        <x:v>agent security, prompt injection, model vulnerabilities</x:v>
      </x:c>
      <x:c r="I27" s="20" t="str">
        <x:v>Yes</x:v>
      </x:c>
      <x:c r="J27" s="20" t="str">
        <x:v>Papers, personal site, X</x:v>
      </x:c>
      <x:c r="K27" s="32" t="str">
        <x:v>@ncarlini</x:v>
      </x:c>
      <x:c r="L27" s="20" t="str">
        <x:v>Verified</x:v>
      </x:c>
      <x:c r="M27" s="20" t="str">
        <x:v>Weekly</x:v>
      </x:c>
      <x:c r="N27" s="20" t="str">
        <x:v>High</x:v>
      </x:c>
      <x:c r="O27" s="30" t="str">
        <x:v>2026-07-13</x:v>
      </x:c>
      <x:c r="P27" s="20" t="str">
        <x:v>Critical counter-signal for unsafe autonomy, tool misuse, and evaluation weaknesses.</x:v>
      </x:c>
      <x:c r="Q27" s="32" t="str">
        <x:v>https://nicholas.carlini.com/</x:v>
      </x:c>
      <x:c r="R27" s="32" t="str">
        <x:v>https://www.anthropic.com/research</x:v>
      </x:c>
      <x:c r="S27" s="26" t="n">
        <x:v>5</x:v>
      </x:c>
      <x:c r="T27" s="26" t="n">
        <x:v>5</x:v>
      </x:c>
      <x:c r="U27" s="26" t="n">
        <x:v>4</x:v>
      </x:c>
      <x:c r="V27" s="26" t="n">
        <x:v>4</x:v>
      </x:c>
      <x:c r="W27" s="26" t="n">
        <x:v>5</x:v>
      </x:c>
    </x:row>
    <x:row r="28" ht="50" customHeight="1">
      <x:c r="A28" s="26" t="n">
        <x:v>27</x:v>
      </x:c>
      <x:c r="B28" s="28" t="n">
        <x:f>ROUND((S28*Scoring_Model!$B$4+T28*Scoring_Model!$B$5+U28*Scoring_Model!$B$6+V28*Scoring_Model!$B$7+W28*Scoring_Model!$B$8)/Scoring_Model!$B$9*Scoring_Model!$B$10,1)</x:f>
        <x:v>79</x:v>
      </x:c>
      <x:c r="C28" s="20" t="str">
        <x:f>IF(B28&gt;=Scoring_Model!$B$11,"T1",IF(B28&gt;=Scoring_Model!$B$12,"T2","T3"))</x:f>
        <x:v>T3</x:v>
      </x:c>
      <x:c r="D28" s="20" t="str">
        <x:v>Anthropic / Claude</x:v>
      </x:c>
      <x:c r="E28" s="20" t="str">
        <x:v>Amanda Askell</x:v>
      </x:c>
      <x:c r="F28" s="20" t="str">
        <x:v>Anthropic</x:v>
      </x:c>
      <x:c r="G28" s="20" t="str">
        <x:v>Alignment/model behavior research</x:v>
      </x:c>
      <x:c r="H28" s="20" t="str">
        <x:v>model behavior, instruction following, safety</x:v>
      </x:c>
      <x:c r="I28" s="20" t="str">
        <x:v>Mixed</x:v>
      </x:c>
      <x:c r="J28" s="20" t="str">
        <x:v>Research releases, interviews, X</x:v>
      </x:c>
      <x:c r="K28" s="32" t="str">
        <x:v>@AmandaAskell</x:v>
      </x:c>
      <x:c r="L28" s="20" t="str">
        <x:v>Verified</x:v>
      </x:c>
      <x:c r="M28" s="20" t="str">
        <x:v>Weekly</x:v>
      </x:c>
      <x:c r="N28" s="20" t="str">
        <x:v>High</x:v>
      </x:c>
      <x:c r="O28" s="30" t="str">
        <x:v>2026-07-13</x:v>
      </x:c>
      <x:c r="P28" s="20" t="str">
        <x:v>Useful for understanding model-behavior constraints that affect agent design and delegation.</x:v>
      </x:c>
      <x:c r="Q28" s="32" t="str">
        <x:v>https://www.anthropic.com/research</x:v>
      </x:c>
      <x:c r="R28" s="32" t="str">
        <x:v>https://x.com/AmandaAskell</x:v>
      </x:c>
      <x:c r="S28" s="26" t="n">
        <x:v>4</x:v>
      </x:c>
      <x:c r="T28" s="26" t="n">
        <x:v>5</x:v>
      </x:c>
      <x:c r="U28" s="26" t="n">
        <x:v>3</x:v>
      </x:c>
      <x:c r="V28" s="26" t="n">
        <x:v>3</x:v>
      </x:c>
      <x:c r="W28" s="26" t="n">
        <x:v>5</x:v>
      </x:c>
    </x:row>
    <x:row r="29" ht="50" customHeight="1">
      <x:c r="A29" s="26" t="n">
        <x:v>28</x:v>
      </x:c>
      <x:c r="B29" s="28" t="n">
        <x:f>ROUND((S29*Scoring_Model!$B$4+T29*Scoring_Model!$B$5+U29*Scoring_Model!$B$6+V29*Scoring_Model!$B$7+W29*Scoring_Model!$B$8)/Scoring_Model!$B$9*Scoring_Model!$B$10,1)</x:f>
        <x:v>96</x:v>
      </x:c>
      <x:c r="C29" s="20" t="str">
        <x:f>IF(B29&gt;=Scoring_Model!$B$11,"T1",IF(B29&gt;=Scoring_Model!$B$12,"T2","T3"))</x:f>
        <x:v>T2</x:v>
      </x:c>
      <x:c r="D29" s="20" t="str">
        <x:v>Google / DeepMind</x:v>
      </x:c>
      <x:c r="E29" s="20" t="str">
        <x:v>Yubin Kim</x:v>
      </x:c>
      <x:c r="F29" s="20" t="str">
        <x:v>Google Research</x:v>
      </x:c>
      <x:c r="G29" s="20" t="str">
        <x:v>Agent-systems scaling researcher</x:v>
      </x:c>
      <x:c r="H29" s="20" t="str">
        <x:v>multi-agent scaling, architecture selection, evaluation</x:v>
      </x:c>
      <x:c r="I29" s="20" t="str">
        <x:v>Yes</x:v>
      </x:c>
      <x:c r="J29" s="20" t="str">
        <x:v>Google Research posts, papers, code</x:v>
      </x:c>
      <x:c r="K29" s="32" t="str"/>
      <x:c r="L29" s="20" t="str">
        <x:v>Not resolved</x:v>
      </x:c>
      <x:c r="M29" s="20" t="str">
        <x:v>On paper/release</x:v>
      </x:c>
      <x:c r="N29" s="20" t="str">
        <x:v>High</x:v>
      </x:c>
      <x:c r="O29" s="30" t="str">
        <x:v>2026-07-13</x:v>
      </x:c>
      <x:c r="P29" s="20" t="str">
        <x:v>Co-authored a controlled study of 180 agent configurations and architecture/task fit.</x:v>
      </x:c>
      <x:c r="Q29" s="32" t="str">
        <x:v>https://research.google/blog/towards-a-science-of-scaling-agent-systems-when-and-why-agent-systems-work/</x:v>
      </x:c>
      <x:c r="R29" s="32" t="str">
        <x:v>https://research.google/pubs/</x:v>
      </x:c>
      <x:c r="S29" s="26" t="n">
        <x:v>5</x:v>
      </x:c>
      <x:c r="T29" s="26" t="n">
        <x:v>5</x:v>
      </x:c>
      <x:c r="U29" s="26" t="n">
        <x:v>4</x:v>
      </x:c>
      <x:c r="V29" s="26" t="n">
        <x:v>5</x:v>
      </x:c>
      <x:c r="W29" s="26" t="n">
        <x:v>5</x:v>
      </x:c>
    </x:row>
    <x:row r="30" ht="50" customHeight="1">
      <x:c r="A30" s="26" t="n">
        <x:v>29</x:v>
      </x:c>
      <x:c r="B30" s="28" t="n">
        <x:f>ROUND((S30*Scoring_Model!$B$4+T30*Scoring_Model!$B$5+U30*Scoring_Model!$B$6+V30*Scoring_Model!$B$7+W30*Scoring_Model!$B$8)/Scoring_Model!$B$9*Scoring_Model!$B$10,1)</x:f>
        <x:v>96</x:v>
      </x:c>
      <x:c r="C30" s="20" t="str">
        <x:f>IF(B30&gt;=Scoring_Model!$B$11,"T1",IF(B30&gt;=Scoring_Model!$B$12,"T2","T3"))</x:f>
        <x:v>T2</x:v>
      </x:c>
      <x:c r="D30" s="20" t="str">
        <x:v>Google / DeepMind</x:v>
      </x:c>
      <x:c r="E30" s="20" t="str">
        <x:v>Xin Liu</x:v>
      </x:c>
      <x:c r="F30" s="20" t="str">
        <x:v>Google Research</x:v>
      </x:c>
      <x:c r="G30" s="20" t="str">
        <x:v>Senior research scientist, agent systems</x:v>
      </x:c>
      <x:c r="H30" s="20" t="str">
        <x:v>multi-agent coordination, scaling laws, evaluation</x:v>
      </x:c>
      <x:c r="I30" s="20" t="str">
        <x:v>Yes</x:v>
      </x:c>
      <x:c r="J30" s="20" t="str">
        <x:v>Google Research posts, papers</x:v>
      </x:c>
      <x:c r="K30" s="32" t="str"/>
      <x:c r="L30" s="20" t="str">
        <x:v>Not resolved</x:v>
      </x:c>
      <x:c r="M30" s="20" t="str">
        <x:v>On paper/release</x:v>
      </x:c>
      <x:c r="N30" s="20" t="str">
        <x:v>High</x:v>
      </x:c>
      <x:c r="O30" s="30" t="str">
        <x:v>2026-07-13</x:v>
      </x:c>
      <x:c r="P30" s="20" t="str">
        <x:v>Co-authored quantitative guidance on when multi-agent systems help or hurt.</x:v>
      </x:c>
      <x:c r="Q30" s="32" t="str">
        <x:v>https://research.google/blog/towards-a-science-of-scaling-agent-systems-when-and-why-agent-systems-work/</x:v>
      </x:c>
      <x:c r="R30" s="32" t="str">
        <x:v>https://research.google/pubs/</x:v>
      </x:c>
      <x:c r="S30" s="26" t="n">
        <x:v>5</x:v>
      </x:c>
      <x:c r="T30" s="26" t="n">
        <x:v>5</x:v>
      </x:c>
      <x:c r="U30" s="26" t="n">
        <x:v>4</x:v>
      </x:c>
      <x:c r="V30" s="26" t="n">
        <x:v>5</x:v>
      </x:c>
      <x:c r="W30" s="26" t="n">
        <x:v>5</x:v>
      </x:c>
    </x:row>
    <x:row r="31" ht="50" customHeight="1">
      <x:c r="A31" s="26" t="n">
        <x:v>30</x:v>
      </x:c>
      <x:c r="B31" s="28" t="n">
        <x:f>ROUND((S31*Scoring_Model!$B$4+T31*Scoring_Model!$B$5+U31*Scoring_Model!$B$6+V31*Scoring_Model!$B$7+W31*Scoring_Model!$B$8)/Scoring_Model!$B$9*Scoring_Model!$B$10,1)</x:f>
        <x:v>100</x:v>
      </x:c>
      <x:c r="C31" s="20" t="str">
        <x:f>IF(B31&gt;=Scoring_Model!$B$11,"T1",IF(B31&gt;=Scoring_Model!$B$12,"T2","T3"))</x:f>
        <x:v>T1</x:v>
      </x:c>
      <x:c r="D31" s="20" t="str">
        <x:v>Google / DeepMind</x:v>
      </x:c>
      <x:c r="E31" s="20" t="str">
        <x:v>Edi Palencia</x:v>
      </x:c>
      <x:c r="F31" s="20" t="str">
        <x:v>Google</x:v>
      </x:c>
      <x:c r="G31" s="20" t="str">
        <x:v>Gemini CLI software engineer</x:v>
      </x:c>
      <x:c r="H31" s="20" t="str">
        <x:v>agent hooks, lifecycle events, policy enforcement</x:v>
      </x:c>
      <x:c r="I31" s="20" t="str">
        <x:v>Yes</x:v>
      </x:c>
      <x:c r="J31" s="20" t="str">
        <x:v>Gemini CLI releases, GitHub PRs, Google Developers Blog</x:v>
      </x:c>
      <x:c r="K31" s="32" t="str"/>
      <x:c r="L31" s="20" t="str">
        <x:v>Not resolved</x:v>
      </x:c>
      <x:c r="M31" s="20" t="str">
        <x:v>On release/PR</x:v>
      </x:c>
      <x:c r="N31" s="20" t="str">
        <x:v>High</x:v>
      </x:c>
      <x:c r="O31" s="30" t="str">
        <x:v>2026-07-13</x:v>
      </x:c>
      <x:c r="P31" s="20" t="str">
        <x:v>Direct builder of configurable hooks around the Gemini CLI agent loop.</x:v>
      </x:c>
      <x:c r="Q31" s="32" t="str">
        <x:v>https://developers.googleblog.com/tailor-gemini-cli-to-your-workflow-with-hooks/</x:v>
      </x:c>
      <x:c r="R31" s="32" t="str">
        <x:v>https://github.com/google-gemini/gemini-cli</x:v>
      </x:c>
      <x:c r="S31" s="26" t="n">
        <x:v>5</x:v>
      </x:c>
      <x:c r="T31" s="26" t="n">
        <x:v>5</x:v>
      </x:c>
      <x:c r="U31" s="26" t="n">
        <x:v>5</x:v>
      </x:c>
      <x:c r="V31" s="26" t="n">
        <x:v>5</x:v>
      </x:c>
      <x:c r="W31" s="26" t="n">
        <x:v>5</x:v>
      </x:c>
    </x:row>
    <x:row r="32" ht="50" customHeight="1">
      <x:c r="A32" s="26" t="n">
        <x:v>31</x:v>
      </x:c>
      <x:c r="B32" s="28" t="n">
        <x:f>ROUND((S32*Scoring_Model!$B$4+T32*Scoring_Model!$B$5+U32*Scoring_Model!$B$6+V32*Scoring_Model!$B$7+W32*Scoring_Model!$B$8)/Scoring_Model!$B$9*Scoring_Model!$B$10,1)</x:f>
        <x:v>92</x:v>
      </x:c>
      <x:c r="C32" s="20" t="str">
        <x:f>IF(B32&gt;=Scoring_Model!$B$11,"T1",IF(B32&gt;=Scoring_Model!$B$12,"T2","T3"))</x:f>
        <x:v>T2</x:v>
      </x:c>
      <x:c r="D32" s="20" t="str">
        <x:v>Google / DeepMind</x:v>
      </x:c>
      <x:c r="E32" s="20" t="str">
        <x:v>Jack Wotherspoon</x:v>
      </x:c>
      <x:c r="F32" s="20" t="str">
        <x:v>Google</x:v>
      </x:c>
      <x:c r="G32" s="20" t="str">
        <x:v>Gemini CLI developer advocate/builder</x:v>
      </x:c>
      <x:c r="H32" s="20" t="str">
        <x:v>agent customization, extensions, developer workflows</x:v>
      </x:c>
      <x:c r="I32" s="20" t="str">
        <x:v>Yes</x:v>
      </x:c>
      <x:c r="J32" s="20" t="str">
        <x:v>Google Developers Blog, Gemini CLI repo, X</x:v>
      </x:c>
      <x:c r="K32" s="32" t="str"/>
      <x:c r="L32" s="20" t="str">
        <x:v>Not resolved</x:v>
      </x:c>
      <x:c r="M32" s="20" t="str">
        <x:v>2x weekly</x:v>
      </x:c>
      <x:c r="N32" s="20" t="str">
        <x:v>High</x:v>
      </x:c>
      <x:c r="O32" s="30" t="str">
        <x:v>2026-07-13</x:v>
      </x:c>
      <x:c r="P32" s="20" t="str">
        <x:v>Publishes implementation-level guidance on Gemini CLI customization.</x:v>
      </x:c>
      <x:c r="Q32" s="32" t="str">
        <x:v>https://developers.googleblog.com/tailor-gemini-cli-to-your-workflow-with-hooks/</x:v>
      </x:c>
      <x:c r="R32" s="32" t="str">
        <x:v>https://github.com/google-gemini/gemini-cli</x:v>
      </x:c>
      <x:c r="S32" s="26" t="n">
        <x:v>5</x:v>
      </x:c>
      <x:c r="T32" s="26" t="n">
        <x:v>5</x:v>
      </x:c>
      <x:c r="U32" s="26" t="n">
        <x:v>4</x:v>
      </x:c>
      <x:c r="V32" s="26" t="n">
        <x:v>4</x:v>
      </x:c>
      <x:c r="W32" s="26" t="n">
        <x:v>5</x:v>
      </x:c>
    </x:row>
    <x:row r="33" ht="50" customHeight="1">
      <x:c r="A33" s="26" t="n">
        <x:v>32</x:v>
      </x:c>
      <x:c r="B33" s="28" t="n">
        <x:f>ROUND((S33*Scoring_Model!$B$4+T33*Scoring_Model!$B$5+U33*Scoring_Model!$B$6+V33*Scoring_Model!$B$7+W33*Scoring_Model!$B$8)/Scoring_Model!$B$9*Scoring_Model!$B$10,1)</x:f>
        <x:v>100</x:v>
      </x:c>
      <x:c r="C33" s="20" t="str">
        <x:f>IF(B33&gt;=Scoring_Model!$B$11,"T1",IF(B33&gt;=Scoring_Model!$B$12,"T2","T3"))</x:f>
        <x:v>T1</x:v>
      </x:c>
      <x:c r="D33" s="20" t="str">
        <x:v>Google / DeepMind</x:v>
      </x:c>
      <x:c r="E33" s="20" t="str">
        <x:v>Abhi Patel</x:v>
      </x:c>
      <x:c r="F33" s="20" t="str">
        <x:v>Google</x:v>
      </x:c>
      <x:c r="G33" s="20" t="str">
        <x:v>Gemini CLI software engineer</x:v>
      </x:c>
      <x:c r="H33" s="20" t="str">
        <x:v>agent hooks, validation, security policies</x:v>
      </x:c>
      <x:c r="I33" s="20" t="str">
        <x:v>Yes</x:v>
      </x:c>
      <x:c r="J33" s="20" t="str">
        <x:v>Gemini CLI releases and PRs</x:v>
      </x:c>
      <x:c r="K33" s="32" t="str"/>
      <x:c r="L33" s="20" t="str">
        <x:v>Not resolved</x:v>
      </x:c>
      <x:c r="M33" s="20" t="str">
        <x:v>On release/PR</x:v>
      </x:c>
      <x:c r="N33" s="20" t="str">
        <x:v>High</x:v>
      </x:c>
      <x:c r="O33" s="30" t="str">
        <x:v>2026-07-13</x:v>
      </x:c>
      <x:c r="P33" s="20" t="str">
        <x:v>Direct engineering signal on lifecycle hooks and controlled agent execution.</x:v>
      </x:c>
      <x:c r="Q33" s="32" t="str">
        <x:v>https://developers.googleblog.com/tailor-gemini-cli-to-your-workflow-with-hooks/</x:v>
      </x:c>
      <x:c r="R33" s="32" t="str">
        <x:v>https://github.com/google-gemini/gemini-cli</x:v>
      </x:c>
      <x:c r="S33" s="26" t="n">
        <x:v>5</x:v>
      </x:c>
      <x:c r="T33" s="26" t="n">
        <x:v>5</x:v>
      </x:c>
      <x:c r="U33" s="26" t="n">
        <x:v>5</x:v>
      </x:c>
      <x:c r="V33" s="26" t="n">
        <x:v>5</x:v>
      </x:c>
      <x:c r="W33" s="26" t="n">
        <x:v>5</x:v>
      </x:c>
    </x:row>
    <x:row r="34" ht="50" customHeight="1">
      <x:c r="A34" s="26" t="n">
        <x:v>33</x:v>
      </x:c>
      <x:c r="B34" s="28" t="n">
        <x:f>ROUND((S34*Scoring_Model!$B$4+T34*Scoring_Model!$B$5+U34*Scoring_Model!$B$6+V34*Scoring_Model!$B$7+W34*Scoring_Model!$B$8)/Scoring_Model!$B$9*Scoring_Model!$B$10,1)</x:f>
        <x:v>96</x:v>
      </x:c>
      <x:c r="C34" s="20" t="str">
        <x:f>IF(B34&gt;=Scoring_Model!$B$11,"T1",IF(B34&gt;=Scoring_Model!$B$12,"T2","T3"))</x:f>
        <x:v>T2</x:v>
      </x:c>
      <x:c r="D34" s="20" t="str">
        <x:v>Google / DeepMind</x:v>
      </x:c>
      <x:c r="E34" s="20" t="str">
        <x:v>Philipp Schmid</x:v>
      </x:c>
      <x:c r="F34" s="20" t="str">
        <x:v>Google</x:v>
      </x:c>
      <x:c r="G34" s="20" t="str">
        <x:v>AI developer advocate and systems builder</x:v>
      </x:c>
      <x:c r="H34" s="20" t="str">
        <x:v>agents, open models, deployment, tool use</x:v>
      </x:c>
      <x:c r="I34" s="20" t="str">
        <x:v>Yes</x:v>
      </x:c>
      <x:c r="J34" s="20" t="str">
        <x:v>Technical blog, notebooks, GitHub, X</x:v>
      </x:c>
      <x:c r="K34" s="32" t="str">
        <x:v>@_philschmid</x:v>
      </x:c>
      <x:c r="L34" s="20" t="str">
        <x:v>Verified</x:v>
      </x:c>
      <x:c r="M34" s="20" t="str">
        <x:v>Daily</x:v>
      </x:c>
      <x:c r="N34" s="20" t="str">
        <x:v>High</x:v>
      </x:c>
      <x:c r="O34" s="30" t="str">
        <x:v>2026-07-13</x:v>
      </x:c>
      <x:c r="P34" s="20" t="str">
        <x:v>Frequently publishes reproducible, implementation-first material on agents and model systems.</x:v>
      </x:c>
      <x:c r="Q34" s="32" t="str">
        <x:v>https://www.philschmid.de/</x:v>
      </x:c>
      <x:c r="R34" s="32" t="str">
        <x:v>https://developers.googleblog.com/</x:v>
      </x:c>
      <x:c r="S34" s="26" t="n">
        <x:v>5</x:v>
      </x:c>
      <x:c r="T34" s="26" t="n">
        <x:v>5</x:v>
      </x:c>
      <x:c r="U34" s="26" t="n">
        <x:v>5</x:v>
      </x:c>
      <x:c r="V34" s="26" t="n">
        <x:v>4</x:v>
      </x:c>
      <x:c r="W34" s="26" t="n">
        <x:v>5</x:v>
      </x:c>
    </x:row>
    <x:row r="35" ht="50" customHeight="1">
      <x:c r="A35" s="26" t="n">
        <x:v>34</x:v>
      </x:c>
      <x:c r="B35" s="28" t="n">
        <x:f>ROUND((S35*Scoring_Model!$B$4+T35*Scoring_Model!$B$5+U35*Scoring_Model!$B$6+V35*Scoring_Model!$B$7+W35*Scoring_Model!$B$8)/Scoring_Model!$B$9*Scoring_Model!$B$10,1)</x:f>
        <x:v>92</x:v>
      </x:c>
      <x:c r="C35" s="20" t="str">
        <x:f>IF(B35&gt;=Scoring_Model!$B$11,"T1",IF(B35&gt;=Scoring_Model!$B$12,"T2","T3"))</x:f>
        <x:v>T2</x:v>
      </x:c>
      <x:c r="D35" s="20" t="str">
        <x:v>Google / DeepMind</x:v>
      </x:c>
      <x:c r="E35" s="20" t="str">
        <x:v>Shubham Saboo</x:v>
      </x:c>
      <x:c r="F35" s="20" t="str">
        <x:v>Google</x:v>
      </x:c>
      <x:c r="G35" s="20" t="str">
        <x:v>Agent development and ADK technical author</x:v>
      </x:c>
      <x:c r="H35" s="20" t="str">
        <x:v>ADK, protocols, skills, agent interoperability</x:v>
      </x:c>
      <x:c r="I35" s="20" t="str">
        <x:v>Yes</x:v>
      </x:c>
      <x:c r="J35" s="20" t="str">
        <x:v>Google Developers Blog, GitHub, X</x:v>
      </x:c>
      <x:c r="K35" s="32" t="str">
        <x:v>@Saboo_Shubham_</x:v>
      </x:c>
      <x:c r="L35" s="20" t="str">
        <x:v>High-confidence handle</x:v>
      </x:c>
      <x:c r="M35" s="20" t="str">
        <x:v>2x weekly</x:v>
      </x:c>
      <x:c r="N35" s="20" t="str">
        <x:v>High</x:v>
      </x:c>
      <x:c r="O35" s="30" t="str">
        <x:v>2026-07-13</x:v>
      </x:c>
      <x:c r="P35" s="20" t="str">
        <x:v>Practical signal on Google's Agent Development Kit and protocol/skill patterns.</x:v>
      </x:c>
      <x:c r="Q35" s="32" t="str">
        <x:v>https://developers.googleblog.com/</x:v>
      </x:c>
      <x:c r="R35" s="32" t="str">
        <x:v>https://github.com/google/adk-python</x:v>
      </x:c>
      <x:c r="S35" s="26" t="n">
        <x:v>5</x:v>
      </x:c>
      <x:c r="T35" s="26" t="n">
        <x:v>5</x:v>
      </x:c>
      <x:c r="U35" s="26" t="n">
        <x:v>4</x:v>
      </x:c>
      <x:c r="V35" s="26" t="n">
        <x:v>4</x:v>
      </x:c>
      <x:c r="W35" s="26" t="n">
        <x:v>5</x:v>
      </x:c>
    </x:row>
    <x:row r="36" ht="50" customHeight="1">
      <x:c r="A36" s="26" t="n">
        <x:v>35</x:v>
      </x:c>
      <x:c r="B36" s="28" t="n">
        <x:f>ROUND((S36*Scoring_Model!$B$4+T36*Scoring_Model!$B$5+U36*Scoring_Model!$B$6+V36*Scoring_Model!$B$7+W36*Scoring_Model!$B$8)/Scoring_Model!$B$9*Scoring_Model!$B$10,1)</x:f>
        <x:v>96</x:v>
      </x:c>
      <x:c r="C36" s="20" t="str">
        <x:f>IF(B36&gt;=Scoring_Model!$B$11,"T1",IF(B36&gt;=Scoring_Model!$B$12,"T2","T3"))</x:f>
        <x:v>T2</x:v>
      </x:c>
      <x:c r="D36" s="20" t="str">
        <x:v>Google / DeepMind</x:v>
      </x:c>
      <x:c r="E36" s="20" t="str">
        <x:v>Alan Blount</x:v>
      </x:c>
      <x:c r="F36" s="20" t="str">
        <x:v>Google</x:v>
      </x:c>
      <x:c r="G36" s="20" t="str">
        <x:v>Agent/API technical author</x:v>
      </x:c>
      <x:c r="H36" s="20" t="str">
        <x:v>Agent Development Kit, interactions API, orchestration</x:v>
      </x:c>
      <x:c r="I36" s="20" t="str">
        <x:v>Yes</x:v>
      </x:c>
      <x:c r="J36" s="20" t="str">
        <x:v>Google Developers Blog, ADK repositories</x:v>
      </x:c>
      <x:c r="K36" s="32" t="str"/>
      <x:c r="L36" s="20" t="str">
        <x:v>Not resolved</x:v>
      </x:c>
      <x:c r="M36" s="20" t="str">
        <x:v>On new post/release</x:v>
      </x:c>
      <x:c r="N36" s="20" t="str">
        <x:v>High</x:v>
      </x:c>
      <x:c r="O36" s="30" t="str">
        <x:v>2026-07-13</x:v>
      </x:c>
      <x:c r="P36" s="20" t="str">
        <x:v>Implementation-oriented author on Google agent APIs and ADK integration.</x:v>
      </x:c>
      <x:c r="Q36" s="32" t="str">
        <x:v>https://developers.googleblog.com/</x:v>
      </x:c>
      <x:c r="R36" s="32" t="str">
        <x:v>https://github.com/google/adk-python</x:v>
      </x:c>
      <x:c r="S36" s="26" t="n">
        <x:v>5</x:v>
      </x:c>
      <x:c r="T36" s="26" t="n">
        <x:v>5</x:v>
      </x:c>
      <x:c r="U36" s="26" t="n">
        <x:v>4</x:v>
      </x:c>
      <x:c r="V36" s="26" t="n">
        <x:v>5</x:v>
      </x:c>
      <x:c r="W36" s="26" t="n">
        <x:v>5</x:v>
      </x:c>
    </x:row>
    <x:row r="37" ht="50" customHeight="1">
      <x:c r="A37" s="26" t="n">
        <x:v>36</x:v>
      </x:c>
      <x:c r="B37" s="28" t="n">
        <x:f>ROUND((S37*Scoring_Model!$B$4+T37*Scoring_Model!$B$5+U37*Scoring_Model!$B$6+V37*Scoring_Model!$B$7+W37*Scoring_Model!$B$8)/Scoring_Model!$B$9*Scoring_Model!$B$10,1)</x:f>
        <x:v>91</x:v>
      </x:c>
      <x:c r="C37" s="20" t="str">
        <x:f>IF(B37&gt;=Scoring_Model!$B$11,"T1",IF(B37&gt;=Scoring_Model!$B$12,"T2","T3"))</x:f>
        <x:v>T2</x:v>
      </x:c>
      <x:c r="D37" s="20" t="str">
        <x:v>Google / DeepMind</x:v>
      </x:c>
      <x:c r="E37" s="20" t="str">
        <x:v>Christine Betts</x:v>
      </x:c>
      <x:c r="F37" s="20" t="str">
        <x:v>Google</x:v>
      </x:c>
      <x:c r="G37" s="20" t="str">
        <x:v>Gemini CLI extensions technical author</x:v>
      </x:c>
      <x:c r="H37" s="20" t="str">
        <x:v>extensions, developer tooling, agent customization</x:v>
      </x:c>
      <x:c r="I37" s="20" t="str">
        <x:v>Yes</x:v>
      </x:c>
      <x:c r="J37" s="20" t="str">
        <x:v>Google Developers Blog, Gemini CLI extensions</x:v>
      </x:c>
      <x:c r="K37" s="32" t="str"/>
      <x:c r="L37" s="20" t="str">
        <x:v>Not resolved</x:v>
      </x:c>
      <x:c r="M37" s="20" t="str">
        <x:v>On new post/release</x:v>
      </x:c>
      <x:c r="N37" s="20" t="str">
        <x:v>High</x:v>
      </x:c>
      <x:c r="O37" s="30" t="str">
        <x:v>2026-07-13</x:v>
      </x:c>
      <x:c r="P37" s="20" t="str">
        <x:v>Useful source for extension and tool-ecosystem changes around Gemini CLI.</x:v>
      </x:c>
      <x:c r="Q37" s="32" t="str">
        <x:v>https://developers.googleblog.com/</x:v>
      </x:c>
      <x:c r="R37" s="32" t="str">
        <x:v>https://github.com/google-gemini/gemini-cli</x:v>
      </x:c>
      <x:c r="S37" s="26" t="n">
        <x:v>4</x:v>
      </x:c>
      <x:c r="T37" s="26" t="n">
        <x:v>5</x:v>
      </x:c>
      <x:c r="U37" s="26" t="n">
        <x:v>4</x:v>
      </x:c>
      <x:c r="V37" s="26" t="n">
        <x:v>5</x:v>
      </x:c>
      <x:c r="W37" s="26" t="n">
        <x:v>5</x:v>
      </x:c>
    </x:row>
    <x:row r="38" ht="50" customHeight="1">
      <x:c r="A38" s="26" t="n">
        <x:v>37</x:v>
      </x:c>
      <x:c r="B38" s="28" t="n">
        <x:f>ROUND((S38*Scoring_Model!$B$4+T38*Scoring_Model!$B$5+U38*Scoring_Model!$B$6+V38*Scoring_Model!$B$7+W38*Scoring_Model!$B$8)/Scoring_Model!$B$9*Scoring_Model!$B$10,1)</x:f>
        <x:v>75</x:v>
      </x:c>
      <x:c r="C38" s="20" t="str">
        <x:f>IF(B38&gt;=Scoring_Model!$B$11,"T1",IF(B38&gt;=Scoring_Model!$B$12,"T2","T3"))</x:f>
        <x:v>T3</x:v>
      </x:c>
      <x:c r="D38" s="20" t="str">
        <x:v>Google / DeepMind</x:v>
      </x:c>
      <x:c r="E38" s="20" t="str">
        <x:v>Oriol Vinyals</x:v>
      </x:c>
      <x:c r="F38" s="20" t="str">
        <x:v>Google DeepMind</x:v>
      </x:c>
      <x:c r="G38" s="20" t="str">
        <x:v>Research leadership</x:v>
      </x:c>
      <x:c r="H38" s="20" t="str">
        <x:v>foundation models, agents, multimodal systems</x:v>
      </x:c>
      <x:c r="I38" s="20" t="str">
        <x:v>Mixed</x:v>
      </x:c>
      <x:c r="J38" s="20" t="str">
        <x:v>Papers, DeepMind publications, X</x:v>
      </x:c>
      <x:c r="K38" s="32" t="str">
        <x:v>@OriolVinyalsML</x:v>
      </x:c>
      <x:c r="L38" s="20" t="str">
        <x:v>Verified</x:v>
      </x:c>
      <x:c r="M38" s="20" t="str">
        <x:v>Weekly</x:v>
      </x:c>
      <x:c r="N38" s="20" t="str">
        <x:v>High</x:v>
      </x:c>
      <x:c r="O38" s="30" t="str">
        <x:v>2026-07-13</x:v>
      </x:c>
      <x:c r="P38" s="20" t="str">
        <x:v>Directional signal connecting frontier-model research to agent and multimodal capabilities.</x:v>
      </x:c>
      <x:c r="Q38" s="32" t="str">
        <x:v>https://deepmind.google/research/publications/</x:v>
      </x:c>
      <x:c r="R38" s="32" t="str">
        <x:v>https://x.com/OriolVinyalsML</x:v>
      </x:c>
      <x:c r="S38" s="26" t="n">
        <x:v>4</x:v>
      </x:c>
      <x:c r="T38" s="26" t="n">
        <x:v>5</x:v>
      </x:c>
      <x:c r="U38" s="26" t="n">
        <x:v>3</x:v>
      </x:c>
      <x:c r="V38" s="26" t="n">
        <x:v>2</x:v>
      </x:c>
      <x:c r="W38" s="26" t="n">
        <x:v>5</x:v>
      </x:c>
    </x:row>
    <x:row r="39" ht="50" customHeight="1">
      <x:c r="A39" s="26" t="n">
        <x:v>38</x:v>
      </x:c>
      <x:c r="B39" s="28" t="n">
        <x:f>ROUND((S39*Scoring_Model!$B$4+T39*Scoring_Model!$B$5+U39*Scoring_Model!$B$6+V39*Scoring_Model!$B$7+W39*Scoring_Model!$B$8)/Scoring_Model!$B$9*Scoring_Model!$B$10,1)</x:f>
        <x:v>96</x:v>
      </x:c>
      <x:c r="C39" s="20" t="str">
        <x:f>IF(B39&gt;=Scoring_Model!$B$11,"T1",IF(B39&gt;=Scoring_Model!$B$12,"T2","T3"))</x:f>
        <x:v>T2</x:v>
      </x:c>
      <x:c r="D39" s="20" t="str">
        <x:v>Meta agent research</x:v>
      </x:c>
      <x:c r="E39" s="20" t="str">
        <x:v>Gregoire Mialon</x:v>
      </x:c>
      <x:c r="F39" s="20" t="str">
        <x:v>Meta AI</x:v>
      </x:c>
      <x:c r="G39" s="20" t="str">
        <x:v>ARE co-author</x:v>
      </x:c>
      <x:c r="H39" s="20" t="str">
        <x:v>agent environments, evaluation infrastructure</x:v>
      </x:c>
      <x:c r="I39" s="20" t="str">
        <x:v>Yes</x:v>
      </x:c>
      <x:c r="J39" s="20" t="str">
        <x:v>Meta papers, arXiv, code repositories</x:v>
      </x:c>
      <x:c r="K39" s="32" t="str"/>
      <x:c r="L39" s="20" t="str">
        <x:v>Not resolved</x:v>
      </x:c>
      <x:c r="M39" s="20" t="str">
        <x:v>On paper/code release</x:v>
      </x:c>
      <x:c r="N39" s="20" t="str">
        <x:v>High</x:v>
      </x:c>
      <x:c r="O39" s="30" t="str">
        <x:v>2026-07-13</x:v>
      </x:c>
      <x:c r="P39" s="20" t="str">
        <x:v>Direct author on scaling agent environments and evaluations.</x:v>
      </x:c>
      <x:c r="Q39" s="32" t="str">
        <x:v>https://ai.meta.com/research/publications/are-scaling-up-agent-environments-and-evaluations/</x:v>
      </x:c>
      <x:c r="R39" s="32" t="str">
        <x:v>https://ai.meta.com/research/</x:v>
      </x:c>
      <x:c r="S39" s="26" t="n">
        <x:v>5</x:v>
      </x:c>
      <x:c r="T39" s="26" t="n">
        <x:v>5</x:v>
      </x:c>
      <x:c r="U39" s="26" t="n">
        <x:v>4</x:v>
      </x:c>
      <x:c r="V39" s="26" t="n">
        <x:v>5</x:v>
      </x:c>
      <x:c r="W39" s="26" t="n">
        <x:v>5</x:v>
      </x:c>
    </x:row>
    <x:row r="40" ht="50" customHeight="1">
      <x:c r="A40" s="26" t="n">
        <x:v>39</x:v>
      </x:c>
      <x:c r="B40" s="28" t="n">
        <x:f>ROUND((S40*Scoring_Model!$B$4+T40*Scoring_Model!$B$5+U40*Scoring_Model!$B$6+V40*Scoring_Model!$B$7+W40*Scoring_Model!$B$8)/Scoring_Model!$B$9*Scoring_Model!$B$10,1)</x:f>
        <x:v>96</x:v>
      </x:c>
      <x:c r="C40" s="20" t="str">
        <x:f>IF(B40&gt;=Scoring_Model!$B$11,"T1",IF(B40&gt;=Scoring_Model!$B$12,"T2","T3"))</x:f>
        <x:v>T2</x:v>
      </x:c>
      <x:c r="D40" s="20" t="str">
        <x:v>Meta agent research</x:v>
      </x:c>
      <x:c r="E40" s="20" t="str">
        <x:v>Thomas Scialom</x:v>
      </x:c>
      <x:c r="F40" s="20" t="str">
        <x:v>Meta AI</x:v>
      </x:c>
      <x:c r="G40" s="20" t="str">
        <x:v>ARE co-author</x:v>
      </x:c>
      <x:c r="H40" s="20" t="str">
        <x:v>agent evaluation, NLP, research agents</x:v>
      </x:c>
      <x:c r="I40" s="20" t="str">
        <x:v>Yes</x:v>
      </x:c>
      <x:c r="J40" s="20" t="str">
        <x:v>Meta papers, X, code</x:v>
      </x:c>
      <x:c r="K40" s="32" t="str">
        <x:v>@ThomasScialom</x:v>
      </x:c>
      <x:c r="L40" s="20" t="str">
        <x:v>High-confidence handle</x:v>
      </x:c>
      <x:c r="M40" s="20" t="str">
        <x:v>Weekly</x:v>
      </x:c>
      <x:c r="N40" s="20" t="str">
        <x:v>High</x:v>
      </x:c>
      <x:c r="O40" s="30" t="str">
        <x:v>2026-07-13</x:v>
      </x:c>
      <x:c r="P40" s="20" t="str">
        <x:v>High-signal research author on large-scale agent evaluation infrastructure.</x:v>
      </x:c>
      <x:c r="Q40" s="32" t="str">
        <x:v>https://ai.meta.com/research/publications/are-scaling-up-agent-environments-and-evaluations/</x:v>
      </x:c>
      <x:c r="R40" s="32" t="str">
        <x:v>https://ai.meta.com/research/</x:v>
      </x:c>
      <x:c r="S40" s="26" t="n">
        <x:v>5</x:v>
      </x:c>
      <x:c r="T40" s="26" t="n">
        <x:v>5</x:v>
      </x:c>
      <x:c r="U40" s="26" t="n">
        <x:v>4</x:v>
      </x:c>
      <x:c r="V40" s="26" t="n">
        <x:v>5</x:v>
      </x:c>
      <x:c r="W40" s="26" t="n">
        <x:v>5</x:v>
      </x:c>
    </x:row>
    <x:row r="41" ht="50" customHeight="1">
      <x:c r="A41" s="26" t="n">
        <x:v>40</x:v>
      </x:c>
      <x:c r="B41" s="28" t="n">
        <x:f>ROUND((S41*Scoring_Model!$B$4+T41*Scoring_Model!$B$5+U41*Scoring_Model!$B$6+V41*Scoring_Model!$B$7+W41*Scoring_Model!$B$8)/Scoring_Model!$B$9*Scoring_Model!$B$10,1)</x:f>
        <x:v>96</x:v>
      </x:c>
      <x:c r="C41" s="20" t="str">
        <x:f>IF(B41&gt;=Scoring_Model!$B$11,"T1",IF(B41&gt;=Scoring_Model!$B$12,"T2","T3"))</x:f>
        <x:v>T2</x:v>
      </x:c>
      <x:c r="D41" s="20" t="str">
        <x:v>Meta agent research</x:v>
      </x:c>
      <x:c r="E41" s="20" t="str">
        <x:v>Karen Hambardzumyan</x:v>
      </x:c>
      <x:c r="F41" s="20" t="str">
        <x:v>Meta AI</x:v>
      </x:c>
      <x:c r="G41" s="20" t="str">
        <x:v>AIRA2 lead author</x:v>
      </x:c>
      <x:c r="H41" s="20" t="str">
        <x:v>AI research agents, bottlenecks, evaluation</x:v>
      </x:c>
      <x:c r="I41" s="20" t="str">
        <x:v>Yes</x:v>
      </x:c>
      <x:c r="J41" s="20" t="str">
        <x:v>Meta papers, arXiv, code</x:v>
      </x:c>
      <x:c r="K41" s="32" t="str"/>
      <x:c r="L41" s="20" t="str">
        <x:v>Not resolved</x:v>
      </x:c>
      <x:c r="M41" s="20" t="str">
        <x:v>On paper/code release</x:v>
      </x:c>
      <x:c r="N41" s="20" t="str">
        <x:v>High</x:v>
      </x:c>
      <x:c r="O41" s="30" t="str">
        <x:v>2026-07-13</x:v>
      </x:c>
      <x:c r="P41" s="20" t="str">
        <x:v>Lead author on research-agent bottlenecks and system design.</x:v>
      </x:c>
      <x:c r="Q41" s="32" t="str">
        <x:v>https://ai.meta.com/research/publications/aira-overcoming-bottlenecks-in-ai-research-agents/</x:v>
      </x:c>
      <x:c r="R41" s="32" t="str">
        <x:v>https://ai.meta.com/research/</x:v>
      </x:c>
      <x:c r="S41" s="26" t="n">
        <x:v>5</x:v>
      </x:c>
      <x:c r="T41" s="26" t="n">
        <x:v>5</x:v>
      </x:c>
      <x:c r="U41" s="26" t="n">
        <x:v>4</x:v>
      </x:c>
      <x:c r="V41" s="26" t="n">
        <x:v>5</x:v>
      </x:c>
      <x:c r="W41" s="26" t="n">
        <x:v>5</x:v>
      </x:c>
    </x:row>
    <x:row r="42" ht="50" customHeight="1">
      <x:c r="A42" s="26" t="n">
        <x:v>41</x:v>
      </x:c>
      <x:c r="B42" s="28" t="n">
        <x:f>ROUND((S42*Scoring_Model!$B$4+T42*Scoring_Model!$B$5+U42*Scoring_Model!$B$6+V42*Scoring_Model!$B$7+W42*Scoring_Model!$B$8)/Scoring_Model!$B$9*Scoring_Model!$B$10,1)</x:f>
        <x:v>96</x:v>
      </x:c>
      <x:c r="C42" s="20" t="str">
        <x:f>IF(B42&gt;=Scoring_Model!$B$11,"T1",IF(B42&gt;=Scoring_Model!$B$12,"T2","T3"))</x:f>
        <x:v>T2</x:v>
      </x:c>
      <x:c r="D42" s="20" t="str">
        <x:v>Meta agent research</x:v>
      </x:c>
      <x:c r="E42" s="20" t="str">
        <x:v>Tatiana Shavrina</x:v>
      </x:c>
      <x:c r="F42" s="20" t="str">
        <x:v>Meta AI</x:v>
      </x:c>
      <x:c r="G42" s="20" t="str">
        <x:v>AIRA2 co-author</x:v>
      </x:c>
      <x:c r="H42" s="20" t="str">
        <x:v>research agents, tool use, evaluation</x:v>
      </x:c>
      <x:c r="I42" s="20" t="str">
        <x:v>Yes</x:v>
      </x:c>
      <x:c r="J42" s="20" t="str">
        <x:v>Meta papers, X, code</x:v>
      </x:c>
      <x:c r="K42" s="32" t="str">
        <x:v>@tshavrina</x:v>
      </x:c>
      <x:c r="L42" s="20" t="str">
        <x:v>High-confidence handle</x:v>
      </x:c>
      <x:c r="M42" s="20" t="str">
        <x:v>Weekly</x:v>
      </x:c>
      <x:c r="N42" s="20" t="str">
        <x:v>High</x:v>
      </x:c>
      <x:c r="O42" s="30" t="str">
        <x:v>2026-07-13</x:v>
      </x:c>
      <x:c r="P42" s="20" t="str">
        <x:v>Co-author on an advanced AI-research-agent system; useful for architecture and failure analysis.</x:v>
      </x:c>
      <x:c r="Q42" s="32" t="str">
        <x:v>https://ai.meta.com/research/publications/aira-overcoming-bottlenecks-in-ai-research-agents/</x:v>
      </x:c>
      <x:c r="R42" s="32" t="str">
        <x:v>https://ai.meta.com/research/</x:v>
      </x:c>
      <x:c r="S42" s="26" t="n">
        <x:v>5</x:v>
      </x:c>
      <x:c r="T42" s="26" t="n">
        <x:v>5</x:v>
      </x:c>
      <x:c r="U42" s="26" t="n">
        <x:v>4</x:v>
      </x:c>
      <x:c r="V42" s="26" t="n">
        <x:v>5</x:v>
      </x:c>
      <x:c r="W42" s="26" t="n">
        <x:v>5</x:v>
      </x:c>
    </x:row>
    <x:row r="43" ht="50" customHeight="1">
      <x:c r="A43" s="26" t="n">
        <x:v>42</x:v>
      </x:c>
      <x:c r="B43" s="28" t="n">
        <x:f>ROUND((S43*Scoring_Model!$B$4+T43*Scoring_Model!$B$5+U43*Scoring_Model!$B$6+V43*Scoring_Model!$B$7+W43*Scoring_Model!$B$8)/Scoring_Model!$B$9*Scoring_Model!$B$10,1)</x:f>
        <x:v>92</x:v>
      </x:c>
      <x:c r="C43" s="20" t="str">
        <x:f>IF(B43&gt;=Scoring_Model!$B$11,"T1",IF(B43&gt;=Scoring_Model!$B$12,"T2","T3"))</x:f>
        <x:v>T2</x:v>
      </x:c>
      <x:c r="D43" s="20" t="str">
        <x:v>Meta agent research</x:v>
      </x:c>
      <x:c r="E43" s="20" t="str">
        <x:v>Jakob Foerster</x:v>
      </x:c>
      <x:c r="F43" s="20" t="str">
        <x:v>Meta AI / academia</x:v>
      </x:c>
      <x:c r="G43" s="20" t="str">
        <x:v>Multi-agent research leader; AIRA2 co-author</x:v>
      </x:c>
      <x:c r="H43" s="20" t="str">
        <x:v>multi-agent learning, coordination, research agents</x:v>
      </x:c>
      <x:c r="I43" s="20" t="str">
        <x:v>Yes</x:v>
      </x:c>
      <x:c r="J43" s="20" t="str">
        <x:v>Papers, lab pages, X</x:v>
      </x:c>
      <x:c r="K43" s="32" t="str"/>
      <x:c r="L43" s="20" t="str">
        <x:v>Not resolved</x:v>
      </x:c>
      <x:c r="M43" s="20" t="str">
        <x:v>Weekly</x:v>
      </x:c>
      <x:c r="N43" s="20" t="str">
        <x:v>High</x:v>
      </x:c>
      <x:c r="O43" s="30" t="str">
        <x:v>2026-07-13</x:v>
      </x:c>
      <x:c r="P43" s="20" t="str">
        <x:v>Deep multi-agent expertise with direct relevance to coordination architecture.</x:v>
      </x:c>
      <x:c r="Q43" s="32" t="str">
        <x:v>https://ai.meta.com/research/publications/aira-overcoming-bottlenecks-in-ai-research-agents/</x:v>
      </x:c>
      <x:c r="R43" s="32" t="str">
        <x:v>https://www.jakobfoerster.com/</x:v>
      </x:c>
      <x:c r="S43" s="26" t="n">
        <x:v>5</x:v>
      </x:c>
      <x:c r="T43" s="26" t="n">
        <x:v>5</x:v>
      </x:c>
      <x:c r="U43" s="26" t="n">
        <x:v>4</x:v>
      </x:c>
      <x:c r="V43" s="26" t="n">
        <x:v>4</x:v>
      </x:c>
      <x:c r="W43" s="26" t="n">
        <x:v>5</x:v>
      </x:c>
    </x:row>
    <x:row r="44" ht="50" customHeight="1">
      <x:c r="A44" s="26" t="n">
        <x:v>43</x:v>
      </x:c>
      <x:c r="B44" s="28" t="n">
        <x:f>ROUND((S44*Scoring_Model!$B$4+T44*Scoring_Model!$B$5+U44*Scoring_Model!$B$6+V44*Scoring_Model!$B$7+W44*Scoring_Model!$B$8)/Scoring_Model!$B$9*Scoring_Model!$B$10,1)</x:f>
        <x:v>96</x:v>
      </x:c>
      <x:c r="C44" s="20" t="str">
        <x:f>IF(B44&gt;=Scoring_Model!$B$11,"T1",IF(B44&gt;=Scoring_Model!$B$12,"T2","T3"))</x:f>
        <x:v>T2</x:v>
      </x:c>
      <x:c r="D44" s="20" t="str">
        <x:v>Meta agent research</x:v>
      </x:c>
      <x:c r="E44" s="20" t="str">
        <x:v>Martin Josifoski</x:v>
      </x:c>
      <x:c r="F44" s="20" t="str">
        <x:v>Meta AI</x:v>
      </x:c>
      <x:c r="G44" s="20" t="str">
        <x:v>AIRA2 co-author</x:v>
      </x:c>
      <x:c r="H44" s="20" t="str">
        <x:v>research agents, scientific workflows</x:v>
      </x:c>
      <x:c r="I44" s="20" t="str">
        <x:v>Yes</x:v>
      </x:c>
      <x:c r="J44" s="20" t="str">
        <x:v>Papers, code, GitHub</x:v>
      </x:c>
      <x:c r="K44" s="32" t="str"/>
      <x:c r="L44" s="20" t="str">
        <x:v>Not resolved</x:v>
      </x:c>
      <x:c r="M44" s="20" t="str">
        <x:v>On paper/code release</x:v>
      </x:c>
      <x:c r="N44" s="20" t="str">
        <x:v>High</x:v>
      </x:c>
      <x:c r="O44" s="30" t="str">
        <x:v>2026-07-13</x:v>
      </x:c>
      <x:c r="P44" s="20" t="str">
        <x:v>Research-agent author likely to surface concrete design and evaluation details.</x:v>
      </x:c>
      <x:c r="Q44" s="32" t="str">
        <x:v>https://ai.meta.com/research/publications/aira-overcoming-bottlenecks-in-ai-research-agents/</x:v>
      </x:c>
      <x:c r="R44" s="32" t="str">
        <x:v>https://ai.meta.com/research/</x:v>
      </x:c>
      <x:c r="S44" s="26" t="n">
        <x:v>5</x:v>
      </x:c>
      <x:c r="T44" s="26" t="n">
        <x:v>5</x:v>
      </x:c>
      <x:c r="U44" s="26" t="n">
        <x:v>4</x:v>
      </x:c>
      <x:c r="V44" s="26" t="n">
        <x:v>5</x:v>
      </x:c>
      <x:c r="W44" s="26" t="n">
        <x:v>5</x:v>
      </x:c>
    </x:row>
    <x:row r="45" ht="50" customHeight="1">
      <x:c r="A45" s="26" t="n">
        <x:v>44</x:v>
      </x:c>
      <x:c r="B45" s="28" t="n">
        <x:f>ROUND((S45*Scoring_Model!$B$4+T45*Scoring_Model!$B$5+U45*Scoring_Model!$B$6+V45*Scoring_Model!$B$7+W45*Scoring_Model!$B$8)/Scoring_Model!$B$9*Scoring_Model!$B$10,1)</x:f>
        <x:v>87</x:v>
      </x:c>
      <x:c r="C45" s="20" t="str">
        <x:f>IF(B45&gt;=Scoring_Model!$B$11,"T1",IF(B45&gt;=Scoring_Model!$B$12,"T2","T3"))</x:f>
        <x:v>T3</x:v>
      </x:c>
      <x:c r="D45" s="20" t="str">
        <x:v>Meta agent research</x:v>
      </x:c>
      <x:c r="E45" s="20" t="str">
        <x:v>Carole-Jean Wu</x:v>
      </x:c>
      <x:c r="F45" s="20" t="str">
        <x:v>Meta AI</x:v>
      </x:c>
      <x:c r="G45" s="20" t="str">
        <x:v>AIRA2 co-author</x:v>
      </x:c>
      <x:c r="H45" s="20" t="str">
        <x:v>efficient AI systems, research agents</x:v>
      </x:c>
      <x:c r="I45" s="20" t="str">
        <x:v>Yes</x:v>
      </x:c>
      <x:c r="J45" s="20" t="str">
        <x:v>Papers, Meta research releases</x:v>
      </x:c>
      <x:c r="K45" s="32" t="str"/>
      <x:c r="L45" s="20" t="str">
        <x:v>Not resolved</x:v>
      </x:c>
      <x:c r="M45" s="20" t="str">
        <x:v>On paper/release</x:v>
      </x:c>
      <x:c r="N45" s="20" t="str">
        <x:v>High</x:v>
      </x:c>
      <x:c r="O45" s="30" t="str">
        <x:v>2026-07-13</x:v>
      </x:c>
      <x:c r="P45" s="20" t="str">
        <x:v>Bridges agent research with systems efficiency and deployment considerations.</x:v>
      </x:c>
      <x:c r="Q45" s="32" t="str">
        <x:v>https://ai.meta.com/research/publications/aira-overcoming-bottlenecks-in-ai-research-agents/</x:v>
      </x:c>
      <x:c r="R45" s="32" t="str">
        <x:v>https://ai.meta.com/research/</x:v>
      </x:c>
      <x:c r="S45" s="26" t="n">
        <x:v>4</x:v>
      </x:c>
      <x:c r="T45" s="26" t="n">
        <x:v>5</x:v>
      </x:c>
      <x:c r="U45" s="26" t="n">
        <x:v>4</x:v>
      </x:c>
      <x:c r="V45" s="26" t="n">
        <x:v>4</x:v>
      </x:c>
      <x:c r="W45" s="26" t="n">
        <x:v>5</x:v>
      </x:c>
    </x:row>
    <x:row r="46" ht="50" customHeight="1">
      <x:c r="A46" s="26" t="n">
        <x:v>45</x:v>
      </x:c>
      <x:c r="B46" s="28" t="n">
        <x:f>ROUND((S46*Scoring_Model!$B$4+T46*Scoring_Model!$B$5+U46*Scoring_Model!$B$6+V46*Scoring_Model!$B$7+W46*Scoring_Model!$B$8)/Scoring_Model!$B$9*Scoring_Model!$B$10,1)</x:f>
        <x:v>96</x:v>
      </x:c>
      <x:c r="C46" s="20" t="str">
        <x:f>IF(B46&gt;=Scoring_Model!$B$11,"T1",IF(B46&gt;=Scoring_Model!$B$12,"T2","T3"))</x:f>
        <x:v>T2</x:v>
      </x:c>
      <x:c r="D46" s="20" t="str">
        <x:v>Meta agent research</x:v>
      </x:c>
      <x:c r="E46" s="20" t="str">
        <x:v>Jean-Baptiste Gaya</x:v>
      </x:c>
      <x:c r="F46" s="20" t="str">
        <x:v>Meta AI</x:v>
      </x:c>
      <x:c r="G46" s="20" t="str">
        <x:v>ARE co-author</x:v>
      </x:c>
      <x:c r="H46" s="20" t="str">
        <x:v>agent environments, benchmarks, evaluation</x:v>
      </x:c>
      <x:c r="I46" s="20" t="str">
        <x:v>Yes</x:v>
      </x:c>
      <x:c r="J46" s="20" t="str">
        <x:v>Meta papers, arXiv, code</x:v>
      </x:c>
      <x:c r="K46" s="32" t="str"/>
      <x:c r="L46" s="20" t="str">
        <x:v>Not resolved</x:v>
      </x:c>
      <x:c r="M46" s="20" t="str">
        <x:v>On paper/code release</x:v>
      </x:c>
      <x:c r="N46" s="20" t="str">
        <x:v>High</x:v>
      </x:c>
      <x:c r="O46" s="30" t="str">
        <x:v>2026-07-13</x:v>
      </x:c>
      <x:c r="P46" s="20" t="str">
        <x:v>Direct contributor to scalable agent-environment and evaluation infrastructure.</x:v>
      </x:c>
      <x:c r="Q46" s="32" t="str">
        <x:v>https://ai.meta.com/research/publications/are-scaling-up-agent-environments-and-evaluations/</x:v>
      </x:c>
      <x:c r="R46" s="32" t="str">
        <x:v>https://ai.meta.com/research/</x:v>
      </x:c>
      <x:c r="S46" s="26" t="n">
        <x:v>5</x:v>
      </x:c>
      <x:c r="T46" s="26" t="n">
        <x:v>5</x:v>
      </x:c>
      <x:c r="U46" s="26" t="n">
        <x:v>4</x:v>
      </x:c>
      <x:c r="V46" s="26" t="n">
        <x:v>5</x:v>
      </x:c>
      <x:c r="W46" s="26" t="n">
        <x:v>5</x:v>
      </x:c>
    </x:row>
    <x:row r="47" ht="50" customHeight="1">
      <x:c r="A47" s="26" t="n">
        <x:v>46</x:v>
      </x:c>
      <x:c r="B47" s="28" t="n">
        <x:f>ROUND((S47*Scoring_Model!$B$4+T47*Scoring_Model!$B$5+U47*Scoring_Model!$B$6+V47*Scoring_Model!$B$7+W47*Scoring_Model!$B$8)/Scoring_Model!$B$9*Scoring_Model!$B$10,1)</x:f>
        <x:v>88</x:v>
      </x:c>
      <x:c r="C47" s="20" t="str">
        <x:f>IF(B47&gt;=Scoring_Model!$B$11,"T1",IF(B47&gt;=Scoring_Model!$B$12,"T2","T3"))</x:f>
        <x:v>T2</x:v>
      </x:c>
      <x:c r="D47" s="20" t="str">
        <x:v>Thinking Machines</x:v>
      </x:c>
      <x:c r="E47" s="20" t="str">
        <x:v>Lilian Weng</x:v>
      </x:c>
      <x:c r="F47" s="20" t="str">
        <x:v>Thinking Machines Lab</x:v>
      </x:c>
      <x:c r="G47" s="20" t="str">
        <x:v>Co-founder; agent and memory researcher</x:v>
      </x:c>
      <x:c r="H47" s="20" t="str">
        <x:v>agents, memory, planning, model behavior</x:v>
      </x:c>
      <x:c r="I47" s="20" t="str">
        <x:v>Mixed</x:v>
      </x:c>
      <x:c r="J47" s="20" t="str">
        <x:v>Personal technical blog, X, Thinking Machines publications</x:v>
      </x:c>
      <x:c r="K47" s="32" t="str">
        <x:v>@lilianweng</x:v>
      </x:c>
      <x:c r="L47" s="20" t="str">
        <x:v>Verified</x:v>
      </x:c>
      <x:c r="M47" s="20" t="str">
        <x:v>Weekly</x:v>
      </x:c>
      <x:c r="N47" s="20" t="str">
        <x:v>High</x:v>
      </x:c>
      <x:c r="O47" s="30" t="str">
        <x:v>2026-07-13</x:v>
      </x:c>
      <x:c r="P47" s="20" t="str">
        <x:v>Foundational technical explainers on agent architectures and memory; current lab direction matters.</x:v>
      </x:c>
      <x:c r="Q47" s="32" t="str">
        <x:v>https://lilianweng.github.io/</x:v>
      </x:c>
      <x:c r="R47" s="32" t="str">
        <x:v>https://thinkingmachines.ai/</x:v>
      </x:c>
      <x:c r="S47" s="26" t="n">
        <x:v>5</x:v>
      </x:c>
      <x:c r="T47" s="26" t="n">
        <x:v>5</x:v>
      </x:c>
      <x:c r="U47" s="26" t="n">
        <x:v>4</x:v>
      </x:c>
      <x:c r="V47" s="26" t="n">
        <x:v>3</x:v>
      </x:c>
      <x:c r="W47" s="26" t="n">
        <x:v>5</x:v>
      </x:c>
    </x:row>
    <x:row r="48" ht="50" customHeight="1">
      <x:c r="A48" s="26" t="n">
        <x:v>47</x:v>
      </x:c>
      <x:c r="B48" s="28" t="n">
        <x:f>ROUND((S48*Scoring_Model!$B$4+T48*Scoring_Model!$B$5+U48*Scoring_Model!$B$6+V48*Scoring_Model!$B$7+W48*Scoring_Model!$B$8)/Scoring_Model!$B$9*Scoring_Model!$B$10,1)</x:f>
        <x:v>83</x:v>
      </x:c>
      <x:c r="C48" s="20" t="str">
        <x:f>IF(B48&gt;=Scoring_Model!$B$11,"T1",IF(B48&gt;=Scoring_Model!$B$12,"T2","T3"))</x:f>
        <x:v>T3</x:v>
      </x:c>
      <x:c r="D48" s="20" t="str">
        <x:v>Thinking Machines</x:v>
      </x:c>
      <x:c r="E48" s="20" t="str">
        <x:v>John Schulman</x:v>
      </x:c>
      <x:c r="F48" s="20" t="str">
        <x:v>Thinking Machines Lab</x:v>
      </x:c>
      <x:c r="G48" s="20" t="str">
        <x:v>Co-founder/chief scientist; post-training research</x:v>
      </x:c>
      <x:c r="H48" s="20" t="str">
        <x:v>RL, post-training, model adaptation</x:v>
      </x:c>
      <x:c r="I48" s="20" t="str">
        <x:v>Yes</x:v>
      </x:c>
      <x:c r="J48" s="20" t="str">
        <x:v>Thinking Machines blog, papers, X</x:v>
      </x:c>
      <x:c r="K48" s="32" t="str">
        <x:v>@johnschulman2</x:v>
      </x:c>
      <x:c r="L48" s="20" t="str">
        <x:v>Verified</x:v>
      </x:c>
      <x:c r="M48" s="20" t="str">
        <x:v>Weekly</x:v>
      </x:c>
      <x:c r="N48" s="20" t="str">
        <x:v>High</x:v>
      </x:c>
      <x:c r="O48" s="30" t="str">
        <x:v>2026-07-13</x:v>
      </x:c>
      <x:c r="P48" s="20" t="str">
        <x:v>Post-training and adaptation work directly affects agent reliability and specialization.</x:v>
      </x:c>
      <x:c r="Q48" s="32" t="str">
        <x:v>https://thinkingmachines.ai/blog/lora/</x:v>
      </x:c>
      <x:c r="R48" s="32" t="str">
        <x:v>https://thinkingmachines.ai/blog/</x:v>
      </x:c>
      <x:c r="S48" s="26" t="n">
        <x:v>4</x:v>
      </x:c>
      <x:c r="T48" s="26" t="n">
        <x:v>5</x:v>
      </x:c>
      <x:c r="U48" s="26" t="n">
        <x:v>4</x:v>
      </x:c>
      <x:c r="V48" s="26" t="n">
        <x:v>3</x:v>
      </x:c>
      <x:c r="W48" s="26" t="n">
        <x:v>5</x:v>
      </x:c>
    </x:row>
    <x:row r="49" ht="50" customHeight="1">
      <x:c r="A49" s="26" t="n">
        <x:v>48</x:v>
      </x:c>
      <x:c r="B49" s="28" t="n">
        <x:f>ROUND((S49*Scoring_Model!$B$4+T49*Scoring_Model!$B$5+U49*Scoring_Model!$B$6+V49*Scoring_Model!$B$7+W49*Scoring_Model!$B$8)/Scoring_Model!$B$9*Scoring_Model!$B$10,1)</x:f>
        <x:v>83</x:v>
      </x:c>
      <x:c r="C49" s="20" t="str">
        <x:f>IF(B49&gt;=Scoring_Model!$B$11,"T1",IF(B49&gt;=Scoring_Model!$B$12,"T2","T3"))</x:f>
        <x:v>T3</x:v>
      </x:c>
      <x:c r="D49" s="20" t="str">
        <x:v>Thinking Machines</x:v>
      </x:c>
      <x:c r="E49" s="20" t="str">
        <x:v>Soumith Chintala</x:v>
      </x:c>
      <x:c r="F49" s="20" t="str">
        <x:v>Thinking Machines Lab</x:v>
      </x:c>
      <x:c r="G49" s="20" t="str">
        <x:v>CTO; PyTorch co-creator</x:v>
      </x:c>
      <x:c r="H49" s="20" t="str">
        <x:v>AI infrastructure, training systems, tooling</x:v>
      </x:c>
      <x:c r="I49" s="20" t="str">
        <x:v>Yes</x:v>
      </x:c>
      <x:c r="J49" s="20" t="str">
        <x:v>Company releases, GitHub, X</x:v>
      </x:c>
      <x:c r="K49" s="32" t="str">
        <x:v>@soumithchintala</x:v>
      </x:c>
      <x:c r="L49" s="20" t="str">
        <x:v>Verified</x:v>
      </x:c>
      <x:c r="M49" s="20" t="str">
        <x:v>Weekly</x:v>
      </x:c>
      <x:c r="N49" s="20" t="str">
        <x:v>High</x:v>
      </x:c>
      <x:c r="O49" s="30" t="str">
        <x:v>2026-07-13</x:v>
      </x:c>
      <x:c r="P49" s="20" t="str">
        <x:v>Infrastructure and open-source systems signal from a highly technical operator.</x:v>
      </x:c>
      <x:c r="Q49" s="32" t="str">
        <x:v>https://thinkingmachines.ai/</x:v>
      </x:c>
      <x:c r="R49" s="32" t="str">
        <x:v>https://github.com/soumith</x:v>
      </x:c>
      <x:c r="S49" s="26" t="n">
        <x:v>4</x:v>
      </x:c>
      <x:c r="T49" s="26" t="n">
        <x:v>5</x:v>
      </x:c>
      <x:c r="U49" s="26" t="n">
        <x:v>4</x:v>
      </x:c>
      <x:c r="V49" s="26" t="n">
        <x:v>3</x:v>
      </x:c>
      <x:c r="W49" s="26" t="n">
        <x:v>5</x:v>
      </x:c>
    </x:row>
    <x:row r="50" ht="50" customHeight="1">
      <x:c r="A50" s="26" t="n">
        <x:v>49</x:v>
      </x:c>
      <x:c r="B50" s="28" t="n">
        <x:f>ROUND((S50*Scoring_Model!$B$4+T50*Scoring_Model!$B$5+U50*Scoring_Model!$B$6+V50*Scoring_Model!$B$7+W50*Scoring_Model!$B$8)/Scoring_Model!$B$9*Scoring_Model!$B$10,1)</x:f>
        <x:v>95</x:v>
      </x:c>
      <x:c r="C50" s="20" t="str">
        <x:f>IF(B50&gt;=Scoring_Model!$B$11,"T1",IF(B50&gt;=Scoring_Model!$B$12,"T2","T3"))</x:f>
        <x:v>T2</x:v>
      </x:c>
      <x:c r="D50" s="20" t="str">
        <x:v>Thinking Machines</x:v>
      </x:c>
      <x:c r="E50" s="20" t="str">
        <x:v>Horace He</x:v>
      </x:c>
      <x:c r="F50" s="20" t="str">
        <x:v>Thinking Machines Lab</x:v>
      </x:c>
      <x:c r="G50" s="20" t="str">
        <x:v>Research/engineering author</x:v>
      </x:c>
      <x:c r="H50" s="20" t="str">
        <x:v>inference determinism, compiler and systems performance</x:v>
      </x:c>
      <x:c r="I50" s="20" t="str">
        <x:v>Yes</x:v>
      </x:c>
      <x:c r="J50" s="20" t="str">
        <x:v>Thinking Machines blog, GitHub, X</x:v>
      </x:c>
      <x:c r="K50" s="32" t="str">
        <x:v>@cHHillee</x:v>
      </x:c>
      <x:c r="L50" s="20" t="str">
        <x:v>Verified</x:v>
      </x:c>
      <x:c r="M50" s="20" t="str">
        <x:v>On new post/code</x:v>
      </x:c>
      <x:c r="N50" s="20" t="str">
        <x:v>High</x:v>
      </x:c>
      <x:c r="O50" s="30" t="str">
        <x:v>2026-07-13</x:v>
      </x:c>
      <x:c r="P50" s="20" t="str">
        <x:v>High-value systems detail on reproducibility and inference behavior—important for agent evaluations.</x:v>
      </x:c>
      <x:c r="Q50" s="32" t="str">
        <x:v>https://thinkingmachines.ai/blog/defeating-nondeterminism-in-llm-inference/</x:v>
      </x:c>
      <x:c r="R50" s="32" t="str">
        <x:v>https://thinkingmachines.ai/blog/</x:v>
      </x:c>
      <x:c r="S50" s="26" t="n">
        <x:v>4</x:v>
      </x:c>
      <x:c r="T50" s="26" t="n">
        <x:v>5</x:v>
      </x:c>
      <x:c r="U50" s="26" t="n">
        <x:v>5</x:v>
      </x:c>
      <x:c r="V50" s="26" t="n">
        <x:v>5</x:v>
      </x:c>
      <x:c r="W50" s="26" t="n">
        <x:v>5</x:v>
      </x:c>
    </x:row>
    <x:row r="51" ht="50" customHeight="1">
      <x:c r="A51" s="26" t="n">
        <x:v>50</x:v>
      </x:c>
      <x:c r="B51" s="28" t="n">
        <x:f>ROUND((S51*Scoring_Model!$B$4+T51*Scoring_Model!$B$5+U51*Scoring_Model!$B$6+V51*Scoring_Model!$B$7+W51*Scoring_Model!$B$8)/Scoring_Model!$B$9*Scoring_Model!$B$10,1)</x:f>
        <x:v>91</x:v>
      </x:c>
      <x:c r="C51" s="20" t="str">
        <x:f>IF(B51&gt;=Scoring_Model!$B$11,"T1",IF(B51&gt;=Scoring_Model!$B$12,"T2","T3"))</x:f>
        <x:v>T2</x:v>
      </x:c>
      <x:c r="D51" s="20" t="str">
        <x:v>Thinking Machines</x:v>
      </x:c>
      <x:c r="E51" s="20" t="str">
        <x:v>Kevin Lu</x:v>
      </x:c>
      <x:c r="F51" s="20" t="str">
        <x:v>Thinking Machines Lab</x:v>
      </x:c>
      <x:c r="G51" s="20" t="str">
        <x:v>Research author</x:v>
      </x:c>
      <x:c r="H51" s="20" t="str">
        <x:v>on-policy distillation, post-training</x:v>
      </x:c>
      <x:c r="I51" s="20" t="str">
        <x:v>Yes</x:v>
      </x:c>
      <x:c r="J51" s="20" t="str">
        <x:v>Thinking Machines blog, papers</x:v>
      </x:c>
      <x:c r="K51" s="32" t="str"/>
      <x:c r="L51" s="20" t="str">
        <x:v>Not resolved</x:v>
      </x:c>
      <x:c r="M51" s="20" t="str">
        <x:v>On new post</x:v>
      </x:c>
      <x:c r="N51" s="20" t="str">
        <x:v>High</x:v>
      </x:c>
      <x:c r="O51" s="30" t="str">
        <x:v>2026-07-13</x:v>
      </x:c>
      <x:c r="P51" s="20" t="str">
        <x:v>Direct signal on post-training methods that can change agent performance and cost.</x:v>
      </x:c>
      <x:c r="Q51" s="32" t="str">
        <x:v>https://thinkingmachines.ai/blog/on-policy-distillation/</x:v>
      </x:c>
      <x:c r="R51" s="32" t="str">
        <x:v>https://thinkingmachines.ai/blog/</x:v>
      </x:c>
      <x:c r="S51" s="26" t="n">
        <x:v>4</x:v>
      </x:c>
      <x:c r="T51" s="26" t="n">
        <x:v>5</x:v>
      </x:c>
      <x:c r="U51" s="26" t="n">
        <x:v>4</x:v>
      </x:c>
      <x:c r="V51" s="26" t="n">
        <x:v>5</x:v>
      </x:c>
      <x:c r="W51" s="26" t="n">
        <x:v>5</x:v>
      </x:c>
    </x:row>
    <x:row r="52" ht="50" customHeight="1">
      <x:c r="A52" s="26" t="n">
        <x:v>51</x:v>
      </x:c>
      <x:c r="B52" s="28" t="n">
        <x:f>ROUND((S52*Scoring_Model!$B$4+T52*Scoring_Model!$B$5+U52*Scoring_Model!$B$6+V52*Scoring_Model!$B$7+W52*Scoring_Model!$B$8)/Scoring_Model!$B$9*Scoring_Model!$B$10,1)</x:f>
        <x:v>79</x:v>
      </x:c>
      <x:c r="C52" s="20" t="str">
        <x:f>IF(B52&gt;=Scoring_Model!$B$11,"T1",IF(B52&gt;=Scoring_Model!$B$12,"T2","T3"))</x:f>
        <x:v>T3</x:v>
      </x:c>
      <x:c r="D52" s="20" t="str">
        <x:v>Other labs / infrastructure</x:v>
      </x:c>
      <x:c r="E52" s="20" t="str">
        <x:v>Marzieh Fadaee</x:v>
      </x:c>
      <x:c r="F52" s="20" t="str">
        <x:v>Cohere Labs</x:v>
      </x:c>
      <x:c r="G52" s="20" t="str">
        <x:v>Head of Cohere Labs</x:v>
      </x:c>
      <x:c r="H52" s="20" t="str">
        <x:v>research direction, multilingual models, enterprise AI</x:v>
      </x:c>
      <x:c r="I52" s="20" t="str">
        <x:v>Mixed</x:v>
      </x:c>
      <x:c r="J52" s="20" t="str">
        <x:v>Cohere Labs author page, papers, conference talks</x:v>
      </x:c>
      <x:c r="K52" s="32" t="str"/>
      <x:c r="L52" s="20" t="str">
        <x:v>Not resolved</x:v>
      </x:c>
      <x:c r="M52" s="20" t="str">
        <x:v>Weekly</x:v>
      </x:c>
      <x:c r="N52" s="20" t="str">
        <x:v>High</x:v>
      </x:c>
      <x:c r="O52" s="30" t="str">
        <x:v>2026-07-13</x:v>
      </x:c>
      <x:c r="P52" s="20" t="str">
        <x:v>Current lab leader with direct research output; useful for non-OpenAI/Anthropic perspectives.</x:v>
      </x:c>
      <x:c r="Q52" s="32" t="str">
        <x:v>https://cohere.com/blog/authors/marzieh-fadaee</x:v>
      </x:c>
      <x:c r="R52" s="32" t="str">
        <x:v>https://cohere.com/research</x:v>
      </x:c>
      <x:c r="S52" s="26" t="n">
        <x:v>4</x:v>
      </x:c>
      <x:c r="T52" s="26" t="n">
        <x:v>5</x:v>
      </x:c>
      <x:c r="U52" s="26" t="n">
        <x:v>3</x:v>
      </x:c>
      <x:c r="V52" s="26" t="n">
        <x:v>3</x:v>
      </x:c>
      <x:c r="W52" s="26" t="n">
        <x:v>5</x:v>
      </x:c>
    </x:row>
    <x:row r="53" ht="50" customHeight="1">
      <x:c r="A53" s="26" t="n">
        <x:v>52</x:v>
      </x:c>
      <x:c r="B53" s="28" t="n">
        <x:f>ROUND((S53*Scoring_Model!$B$4+T53*Scoring_Model!$B$5+U53*Scoring_Model!$B$6+V53*Scoring_Model!$B$7+W53*Scoring_Model!$B$8)/Scoring_Model!$B$9*Scoring_Model!$B$10,1)</x:f>
        <x:v>75</x:v>
      </x:c>
      <x:c r="C53" s="20" t="str">
        <x:f>IF(B53&gt;=Scoring_Model!$B$11,"T1",IF(B53&gt;=Scoring_Model!$B$12,"T2","T3"))</x:f>
        <x:v>T3</x:v>
      </x:c>
      <x:c r="D53" s="20" t="str">
        <x:v>Other labs / infrastructure</x:v>
      </x:c>
      <x:c r="E53" s="20" t="str">
        <x:v>Arthur Mensch</x:v>
      </x:c>
      <x:c r="F53" s="20" t="str">
        <x:v>Mistral AI</x:v>
      </x:c>
      <x:c r="G53" s="20" t="str">
        <x:v>Co-founder and CEO; technical founder</x:v>
      </x:c>
      <x:c r="H53" s="20" t="str">
        <x:v>open models, deployment, model systems</x:v>
      </x:c>
      <x:c r="I53" s="20" t="str">
        <x:v>Mixed</x:v>
      </x:c>
      <x:c r="J53" s="20" t="str">
        <x:v>Mistral releases, technical talks, X</x:v>
      </x:c>
      <x:c r="K53" s="32" t="str">
        <x:v>@arthurmensch</x:v>
      </x:c>
      <x:c r="L53" s="20" t="str">
        <x:v>High-confidence handle</x:v>
      </x:c>
      <x:c r="M53" s="20" t="str">
        <x:v>Weekly</x:v>
      </x:c>
      <x:c r="N53" s="20" t="str">
        <x:v>High</x:v>
      </x:c>
      <x:c r="O53" s="30" t="str">
        <x:v>2026-07-13</x:v>
      </x:c>
      <x:c r="P53" s="20" t="str">
        <x:v>Technical founder whose releases affect open-model routing and local-agent options.</x:v>
      </x:c>
      <x:c r="Q53" s="32" t="str">
        <x:v>https://mistral.ai/about/</x:v>
      </x:c>
      <x:c r="R53" s="32" t="str">
        <x:v>https://mistral.ai/news/</x:v>
      </x:c>
      <x:c r="S53" s="26" t="n">
        <x:v>4</x:v>
      </x:c>
      <x:c r="T53" s="26" t="n">
        <x:v>5</x:v>
      </x:c>
      <x:c r="U53" s="26" t="n">
        <x:v>3</x:v>
      </x:c>
      <x:c r="V53" s="26" t="n">
        <x:v>2</x:v>
      </x:c>
      <x:c r="W53" s="26" t="n">
        <x:v>5</x:v>
      </x:c>
    </x:row>
    <x:row r="54" ht="50" customHeight="1">
      <x:c r="A54" s="26" t="n">
        <x:v>53</x:v>
      </x:c>
      <x:c r="B54" s="28" t="n">
        <x:f>ROUND((S54*Scoring_Model!$B$4+T54*Scoring_Model!$B$5+U54*Scoring_Model!$B$6+V54*Scoring_Model!$B$7+W54*Scoring_Model!$B$8)/Scoring_Model!$B$9*Scoring_Model!$B$10,1)</x:f>
        <x:v>87</x:v>
      </x:c>
      <x:c r="C54" s="20" t="str">
        <x:f>IF(B54&gt;=Scoring_Model!$B$11,"T1",IF(B54&gt;=Scoring_Model!$B$12,"T2","T3"))</x:f>
        <x:v>T3</x:v>
      </x:c>
      <x:c r="D54" s="20" t="str">
        <x:v>Other labs / infrastructure</x:v>
      </x:c>
      <x:c r="E54" s="20" t="str">
        <x:v>Guillaume Lample</x:v>
      </x:c>
      <x:c r="F54" s="20" t="str">
        <x:v>Mistral AI</x:v>
      </x:c>
      <x:c r="G54" s="20" t="str">
        <x:v>Co-founder; model research</x:v>
      </x:c>
      <x:c r="H54" s="20" t="str">
        <x:v>open models, training, reasoning</x:v>
      </x:c>
      <x:c r="I54" s="20" t="str">
        <x:v>Yes</x:v>
      </x:c>
      <x:c r="J54" s="20" t="str">
        <x:v>Papers, Mistral releases, X</x:v>
      </x:c>
      <x:c r="K54" s="32" t="str">
        <x:v>@GuillaumeLample</x:v>
      </x:c>
      <x:c r="L54" s="20" t="str">
        <x:v>High-confidence handle</x:v>
      </x:c>
      <x:c r="M54" s="20" t="str">
        <x:v>Weekly</x:v>
      </x:c>
      <x:c r="N54" s="20" t="str">
        <x:v>High</x:v>
      </x:c>
      <x:c r="O54" s="30" t="str">
        <x:v>2026-07-13</x:v>
      </x:c>
      <x:c r="P54" s="20" t="str">
        <x:v>Direct research signal behind Mistral's model and reasoning stack.</x:v>
      </x:c>
      <x:c r="Q54" s="32" t="str">
        <x:v>https://mistral.ai/about/</x:v>
      </x:c>
      <x:c r="R54" s="32" t="str">
        <x:v>https://mistral.ai/news/</x:v>
      </x:c>
      <x:c r="S54" s="26" t="n">
        <x:v>4</x:v>
      </x:c>
      <x:c r="T54" s="26" t="n">
        <x:v>5</x:v>
      </x:c>
      <x:c r="U54" s="26" t="n">
        <x:v>4</x:v>
      </x:c>
      <x:c r="V54" s="26" t="n">
        <x:v>4</x:v>
      </x:c>
      <x:c r="W54" s="26" t="n">
        <x:v>5</x:v>
      </x:c>
    </x:row>
    <x:row r="55" ht="50" customHeight="1">
      <x:c r="A55" s="26" t="n">
        <x:v>54</x:v>
      </x:c>
      <x:c r="B55" s="28" t="n">
        <x:f>ROUND((S55*Scoring_Model!$B$4+T55*Scoring_Model!$B$5+U55*Scoring_Model!$B$6+V55*Scoring_Model!$B$7+W55*Scoring_Model!$B$8)/Scoring_Model!$B$9*Scoring_Model!$B$10,1)</x:f>
        <x:v>83</x:v>
      </x:c>
      <x:c r="C55" s="20" t="str">
        <x:f>IF(B55&gt;=Scoring_Model!$B$11,"T1",IF(B55&gt;=Scoring_Model!$B$12,"T2","T3"))</x:f>
        <x:v>T3</x:v>
      </x:c>
      <x:c r="D55" s="20" t="str">
        <x:v>Other labs / infrastructure</x:v>
      </x:c>
      <x:c r="E55" s="20" t="str">
        <x:v>Timothée Lacroix</x:v>
      </x:c>
      <x:c r="F55" s="20" t="str">
        <x:v>Mistral AI</x:v>
      </x:c>
      <x:c r="G55" s="20" t="str">
        <x:v>Co-founder and CTO</x:v>
      </x:c>
      <x:c r="H55" s="20" t="str">
        <x:v>model infrastructure, serving, open models</x:v>
      </x:c>
      <x:c r="I55" s="20" t="str">
        <x:v>Yes</x:v>
      </x:c>
      <x:c r="J55" s="20" t="str">
        <x:v>Mistral releases, engineering talks</x:v>
      </x:c>
      <x:c r="K55" s="32" t="str"/>
      <x:c r="L55" s="20" t="str">
        <x:v>Not resolved</x:v>
      </x:c>
      <x:c r="M55" s="20" t="str">
        <x:v>Weekly</x:v>
      </x:c>
      <x:c r="N55" s="20" t="str">
        <x:v>High</x:v>
      </x:c>
      <x:c r="O55" s="30" t="str">
        <x:v>2026-07-13</x:v>
      </x:c>
      <x:c r="P55" s="20" t="str">
        <x:v>Infrastructure and productization signal relevant to local and routed agent systems.</x:v>
      </x:c>
      <x:c r="Q55" s="32" t="str">
        <x:v>https://mistral.ai/about/</x:v>
      </x:c>
      <x:c r="R55" s="32" t="str">
        <x:v>https://mistral.ai/news/</x:v>
      </x:c>
      <x:c r="S55" s="26" t="n">
        <x:v>4</x:v>
      </x:c>
      <x:c r="T55" s="26" t="n">
        <x:v>5</x:v>
      </x:c>
      <x:c r="U55" s="26" t="n">
        <x:v>4</x:v>
      </x:c>
      <x:c r="V55" s="26" t="n">
        <x:v>3</x:v>
      </x:c>
      <x:c r="W55" s="26" t="n">
        <x:v>5</x:v>
      </x:c>
    </x:row>
    <x:row r="56" ht="50" customHeight="1">
      <x:c r="A56" s="26" t="n">
        <x:v>55</x:v>
      </x:c>
      <x:c r="B56" s="28" t="n">
        <x:f>ROUND((S56*Scoring_Model!$B$4+T56*Scoring_Model!$B$5+U56*Scoring_Model!$B$6+V56*Scoring_Model!$B$7+W56*Scoring_Model!$B$8)/Scoring_Model!$B$9*Scoring_Model!$B$10,1)</x:f>
        <x:v>83</x:v>
      </x:c>
      <x:c r="C56" s="20" t="str">
        <x:f>IF(B56&gt;=Scoring_Model!$B$11,"T1",IF(B56&gt;=Scoring_Model!$B$12,"T2","T3"))</x:f>
        <x:v>T3</x:v>
      </x:c>
      <x:c r="D56" s="20" t="str">
        <x:v>Other labs / infrastructure</x:v>
      </x:c>
      <x:c r="E56" s="20" t="str">
        <x:v>Thomas Wolf</x:v>
      </x:c>
      <x:c r="F56" s="20" t="str">
        <x:v>Hugging Face</x:v>
      </x:c>
      <x:c r="G56" s="20" t="str">
        <x:v>Co-founder and chief science leadership</x:v>
      </x:c>
      <x:c r="H56" s="20" t="str">
        <x:v>open-source models, research distribution, ecosystem</x:v>
      </x:c>
      <x:c r="I56" s="20" t="str">
        <x:v>Mixed</x:v>
      </x:c>
      <x:c r="J56" s="20" t="str">
        <x:v>Hugging Face posts, papers, X</x:v>
      </x:c>
      <x:c r="K56" s="32" t="str">
        <x:v>@Thom_Wolf</x:v>
      </x:c>
      <x:c r="L56" s="20" t="str">
        <x:v>Verified</x:v>
      </x:c>
      <x:c r="M56" s="20" t="str">
        <x:v>Daily</x:v>
      </x:c>
      <x:c r="N56" s="20" t="str">
        <x:v>High</x:v>
      </x:c>
      <x:c r="O56" s="30" t="str">
        <x:v>2026-07-13</x:v>
      </x:c>
      <x:c r="P56" s="20" t="str">
        <x:v>Strong ecosystem-level signal on open models, datasets, papers, and tooling.</x:v>
      </x:c>
      <x:c r="Q56" s="32" t="str">
        <x:v>https://huggingface.co/ThomasWolf</x:v>
      </x:c>
      <x:c r="R56" s="32" t="str">
        <x:v>https://huggingface.co/huggingface</x:v>
      </x:c>
      <x:c r="S56" s="26" t="n">
        <x:v>4</x:v>
      </x:c>
      <x:c r="T56" s="26" t="n">
        <x:v>5</x:v>
      </x:c>
      <x:c r="U56" s="26" t="n">
        <x:v>4</x:v>
      </x:c>
      <x:c r="V56" s="26" t="n">
        <x:v>3</x:v>
      </x:c>
      <x:c r="W56" s="26" t="n">
        <x:v>5</x:v>
      </x:c>
    </x:row>
    <x:row r="57" ht="50" customHeight="1">
      <x:c r="A57" s="26" t="n">
        <x:v>56</x:v>
      </x:c>
      <x:c r="B57" s="28" t="n">
        <x:f>ROUND((S57*Scoring_Model!$B$4+T57*Scoring_Model!$B$5+U57*Scoring_Model!$B$6+V57*Scoring_Model!$B$7+W57*Scoring_Model!$B$8)/Scoring_Model!$B$9*Scoring_Model!$B$10,1)</x:f>
        <x:v>91</x:v>
      </x:c>
      <x:c r="C57" s="20" t="str">
        <x:f>IF(B57&gt;=Scoring_Model!$B$11,"T1",IF(B57&gt;=Scoring_Model!$B$12,"T2","T3"))</x:f>
        <x:v>T2</x:v>
      </x:c>
      <x:c r="D57" s="20" t="str">
        <x:v>Other labs / infrastructure</x:v>
      </x:c>
      <x:c r="E57" s="20" t="str">
        <x:v>Lewis Tunstall</x:v>
      </x:c>
      <x:c r="F57" s="20" t="str">
        <x:v>Hugging Face</x:v>
      </x:c>
      <x:c r="G57" s="20" t="str">
        <x:v>ML engineer/researcher and technical author</x:v>
      </x:c>
      <x:c r="H57" s="20" t="str">
        <x:v>fine-tuning, open models, evaluation</x:v>
      </x:c>
      <x:c r="I57" s="20" t="str">
        <x:v>Yes</x:v>
      </x:c>
      <x:c r="J57" s="20" t="str">
        <x:v>Hugging Face repos, technical posts, X</x:v>
      </x:c>
      <x:c r="K57" s="32" t="str">
        <x:v>@lewtun</x:v>
      </x:c>
      <x:c r="L57" s="20" t="str">
        <x:v>Verified</x:v>
      </x:c>
      <x:c r="M57" s="20" t="str">
        <x:v>2x weekly</x:v>
      </x:c>
      <x:c r="N57" s="20" t="str">
        <x:v>High</x:v>
      </x:c>
      <x:c r="O57" s="30" t="str">
        <x:v>2026-07-13</x:v>
      </x:c>
      <x:c r="P57" s="20" t="str">
        <x:v>Frequently publishes reproducible implementation guidance rather than commentary alone.</x:v>
      </x:c>
      <x:c r="Q57" s="32" t="str">
        <x:v>https://huggingface.co/lewtun</x:v>
      </x:c>
      <x:c r="R57" s="32" t="str">
        <x:v>https://huggingface.co/huggingface</x:v>
      </x:c>
      <x:c r="S57" s="26" t="n">
        <x:v>4</x:v>
      </x:c>
      <x:c r="T57" s="26" t="n">
        <x:v>5</x:v>
      </x:c>
      <x:c r="U57" s="26" t="n">
        <x:v>5</x:v>
      </x:c>
      <x:c r="V57" s="26" t="n">
        <x:v>4</x:v>
      </x:c>
      <x:c r="W57" s="26" t="n">
        <x:v>5</x:v>
      </x:c>
    </x:row>
    <x:row r="58" ht="50" customHeight="1">
      <x:c r="A58" s="26" t="n">
        <x:v>57</x:v>
      </x:c>
      <x:c r="B58" s="28" t="n">
        <x:f>ROUND((S58*Scoring_Model!$B$4+T58*Scoring_Model!$B$5+U58*Scoring_Model!$B$6+V58*Scoring_Model!$B$7+W58*Scoring_Model!$B$8)/Scoring_Model!$B$9*Scoring_Model!$B$10,1)</x:f>
        <x:v>87</x:v>
      </x:c>
      <x:c r="C58" s="20" t="str">
        <x:f>IF(B58&gt;=Scoring_Model!$B$11,"T1",IF(B58&gt;=Scoring_Model!$B$12,"T2","T3"))</x:f>
        <x:v>T3</x:v>
      </x:c>
      <x:c r="D58" s="20" t="str">
        <x:v>Other labs / infrastructure</x:v>
      </x:c>
      <x:c r="E58" s="20" t="str">
        <x:v>Jim Fan</x:v>
      </x:c>
      <x:c r="F58" s="20" t="str">
        <x:v>NVIDIA</x:v>
      </x:c>
      <x:c r="G58" s="20" t="str">
        <x:v>Research scientist; embodied-agent leader</x:v>
      </x:c>
      <x:c r="H58" s="20" t="str">
        <x:v>embodied agents, robotics, world models</x:v>
      </x:c>
      <x:c r="I58" s="20" t="str">
        <x:v>Yes</x:v>
      </x:c>
      <x:c r="J58" s="20" t="str">
        <x:v>Papers, NVIDIA GEAR, X</x:v>
      </x:c>
      <x:c r="K58" s="32" t="str">
        <x:v>@DrJimFan</x:v>
      </x:c>
      <x:c r="L58" s="20" t="str">
        <x:v>Verified</x:v>
      </x:c>
      <x:c r="M58" s="20" t="str">
        <x:v>Weekly</x:v>
      </x:c>
      <x:c r="N58" s="20" t="str">
        <x:v>High</x:v>
      </x:c>
      <x:c r="O58" s="30" t="str">
        <x:v>2026-07-13</x:v>
      </x:c>
      <x:c r="P58" s="20" t="str">
        <x:v>Important signal for agents that act in simulated or physical environments.</x:v>
      </x:c>
      <x:c r="Q58" s="32" t="str">
        <x:v>https://jimfan.me/</x:v>
      </x:c>
      <x:c r="R58" s="32" t="str">
        <x:v>https://research.nvidia.com/labs/gear/</x:v>
      </x:c>
      <x:c r="S58" s="26" t="n">
        <x:v>4</x:v>
      </x:c>
      <x:c r="T58" s="26" t="n">
        <x:v>5</x:v>
      </x:c>
      <x:c r="U58" s="26" t="n">
        <x:v>4</x:v>
      </x:c>
      <x:c r="V58" s="26" t="n">
        <x:v>4</x:v>
      </x:c>
      <x:c r="W58" s="26" t="n">
        <x:v>5</x:v>
      </x:c>
    </x:row>
    <x:row r="59" ht="50" customHeight="1">
      <x:c r="A59" s="26" t="n">
        <x:v>58</x:v>
      </x:c>
      <x:c r="B59" s="28" t="n">
        <x:f>ROUND((S59*Scoring_Model!$B$4+T59*Scoring_Model!$B$5+U59*Scoring_Model!$B$6+V59*Scoring_Model!$B$7+W59*Scoring_Model!$B$8)/Scoring_Model!$B$9*Scoring_Model!$B$10,1)</x:f>
        <x:v>87</x:v>
      </x:c>
      <x:c r="C59" s="20" t="str">
        <x:f>IF(B59&gt;=Scoring_Model!$B$11,"T1",IF(B59&gt;=Scoring_Model!$B$12,"T2","T3"))</x:f>
        <x:v>T3</x:v>
      </x:c>
      <x:c r="D59" s="20" t="str">
        <x:v>Other labs / infrastructure</x:v>
      </x:c>
      <x:c r="E59" s="20" t="str">
        <x:v>Yuke Zhu</x:v>
      </x:c>
      <x:c r="F59" s="20" t="str">
        <x:v>NVIDIA / UT Austin</x:v>
      </x:c>
      <x:c r="G59" s="20" t="str">
        <x:v>Embodied intelligence researcher</x:v>
      </x:c>
      <x:c r="H59" s="20" t="str">
        <x:v>robotics, generalist agents, simulation</x:v>
      </x:c>
      <x:c r="I59" s="20" t="str">
        <x:v>Yes</x:v>
      </x:c>
      <x:c r="J59" s="20" t="str">
        <x:v>Papers, GEAR lab, X</x:v>
      </x:c>
      <x:c r="K59" s="32" t="str">
        <x:v>@yukez</x:v>
      </x:c>
      <x:c r="L59" s="20" t="str">
        <x:v>Verified</x:v>
      </x:c>
      <x:c r="M59" s="20" t="str">
        <x:v>Weekly</x:v>
      </x:c>
      <x:c r="N59" s="20" t="str">
        <x:v>High</x:v>
      </x:c>
      <x:c r="O59" s="30" t="str">
        <x:v>2026-07-13</x:v>
      </x:c>
      <x:c r="P59" s="20" t="str">
        <x:v>Technical signal on embodied-agent architectures, learning, and evaluation.</x:v>
      </x:c>
      <x:c r="Q59" s="32" t="str">
        <x:v>https://yukezhu.me/</x:v>
      </x:c>
      <x:c r="R59" s="32" t="str">
        <x:v>https://research.nvidia.com/labs/gear/</x:v>
      </x:c>
      <x:c r="S59" s="26" t="n">
        <x:v>4</x:v>
      </x:c>
      <x:c r="T59" s="26" t="n">
        <x:v>5</x:v>
      </x:c>
      <x:c r="U59" s="26" t="n">
        <x:v>4</x:v>
      </x:c>
      <x:c r="V59" s="26" t="n">
        <x:v>4</x:v>
      </x:c>
      <x:c r="W59" s="26" t="n">
        <x:v>5</x:v>
      </x:c>
    </x:row>
    <x:row r="60" ht="50" customHeight="1">
      <x:c r="A60" s="26" t="n">
        <x:v>59</x:v>
      </x:c>
      <x:c r="B60" s="28" t="n">
        <x:f>ROUND((S60*Scoring_Model!$B$4+T60*Scoring_Model!$B$5+U60*Scoring_Model!$B$6+V60*Scoring_Model!$B$7+W60*Scoring_Model!$B$8)/Scoring_Model!$B$9*Scoring_Model!$B$10,1)</x:f>
        <x:v>96</x:v>
      </x:c>
      <x:c r="C60" s="20" t="str">
        <x:f>IF(B60&gt;=Scoring_Model!$B$11,"T1",IF(B60&gt;=Scoring_Model!$B$12,"T2","T3"))</x:f>
        <x:v>T2</x:v>
      </x:c>
      <x:c r="D60" s="20" t="str">
        <x:v>Frameworks / memory / OSS</x:v>
      </x:c>
      <x:c r="E60" s="20" t="str">
        <x:v>Harrison Chase</x:v>
      </x:c>
      <x:c r="F60" s="20" t="str">
        <x:v>LangChain / LangGraph</x:v>
      </x:c>
      <x:c r="G60" s="20" t="str">
        <x:v>Co-founder; LangGraph direction</x:v>
      </x:c>
      <x:c r="H60" s="20" t="str">
        <x:v>stateful agents, graphs, durable execution</x:v>
      </x:c>
      <x:c r="I60" s="20" t="str">
        <x:v>Mixed</x:v>
      </x:c>
      <x:c r="J60" s="20" t="str">
        <x:v>LangGraph releases/PRs, technical posts, X replies</x:v>
      </x:c>
      <x:c r="K60" s="32" t="str">
        <x:v>@hwchase17</x:v>
      </x:c>
      <x:c r="L60" s="20" t="str">
        <x:v>Verified</x:v>
      </x:c>
      <x:c r="M60" s="20" t="str">
        <x:v>Daily</x:v>
      </x:c>
      <x:c r="N60" s="20" t="str">
        <x:v>High</x:v>
      </x:c>
      <x:c r="O60" s="30" t="str">
        <x:v>2026-07-13</x:v>
      </x:c>
      <x:c r="P60" s="20" t="str">
        <x:v>Central source for stateful orchestration and production agent patterns.</x:v>
      </x:c>
      <x:c r="Q60" s="32" t="str">
        <x:v>https://github.com/langchain-ai/langgraph</x:v>
      </x:c>
      <x:c r="R60" s="32" t="str">
        <x:v>https://blog.langchain.com/</x:v>
      </x:c>
      <x:c r="S60" s="26" t="n">
        <x:v>5</x:v>
      </x:c>
      <x:c r="T60" s="26" t="n">
        <x:v>5</x:v>
      </x:c>
      <x:c r="U60" s="26" t="n">
        <x:v>5</x:v>
      </x:c>
      <x:c r="V60" s="26" t="n">
        <x:v>4</x:v>
      </x:c>
      <x:c r="W60" s="26" t="n">
        <x:v>5</x:v>
      </x:c>
    </x:row>
    <x:row r="61" ht="50" customHeight="1">
      <x:c r="A61" s="26" t="n">
        <x:v>60</x:v>
      </x:c>
      <x:c r="B61" s="28" t="n">
        <x:f>ROUND((S61*Scoring_Model!$B$4+T61*Scoring_Model!$B$5+U61*Scoring_Model!$B$6+V61*Scoring_Model!$B$7+W61*Scoring_Model!$B$8)/Scoring_Model!$B$9*Scoring_Model!$B$10,1)</x:f>
        <x:v>88</x:v>
      </x:c>
      <x:c r="C61" s="20" t="str">
        <x:f>IF(B61&gt;=Scoring_Model!$B$11,"T1",IF(B61&gt;=Scoring_Model!$B$12,"T2","T3"))</x:f>
        <x:v>T2</x:v>
      </x:c>
      <x:c r="D61" s="20" t="str">
        <x:v>Frameworks / memory / OSS</x:v>
      </x:c>
      <x:c r="E61" s="20" t="str">
        <x:v>Ankush Gola</x:v>
      </x:c>
      <x:c r="F61" s="20" t="str">
        <x:v>LangChain</x:v>
      </x:c>
      <x:c r="G61" s="20" t="str">
        <x:v>Co-founder; technical/product leadership</x:v>
      </x:c>
      <x:c r="H61" s="20" t="str">
        <x:v>agent platform, LangGraph, developer tooling</x:v>
      </x:c>
      <x:c r="I61" s="20" t="str">
        <x:v>Mixed</x:v>
      </x:c>
      <x:c r="J61" s="20" t="str">
        <x:v>LangChain releases, company blog, X</x:v>
      </x:c>
      <x:c r="K61" s="32" t="str"/>
      <x:c r="L61" s="20" t="str">
        <x:v>Not resolved</x:v>
      </x:c>
      <x:c r="M61" s="20" t="str">
        <x:v>Weekly</x:v>
      </x:c>
      <x:c r="N61" s="20" t="str">
        <x:v>High</x:v>
      </x:c>
      <x:c r="O61" s="30" t="str">
        <x:v>2026-07-13</x:v>
      </x:c>
      <x:c r="P61" s="20" t="str">
        <x:v>Technical co-founder with high leverage over the LangChain/LangGraph stack.</x:v>
      </x:c>
      <x:c r="Q61" s="32" t="str">
        <x:v>https://www.langchain.com/about</x:v>
      </x:c>
      <x:c r="R61" s="32" t="str">
        <x:v>https://github.com/langchain-ai/langgraph</x:v>
      </x:c>
      <x:c r="S61" s="26" t="n">
        <x:v>5</x:v>
      </x:c>
      <x:c r="T61" s="26" t="n">
        <x:v>5</x:v>
      </x:c>
      <x:c r="U61" s="26" t="n">
        <x:v>4</x:v>
      </x:c>
      <x:c r="V61" s="26" t="n">
        <x:v>3</x:v>
      </x:c>
      <x:c r="W61" s="26" t="n">
        <x:v>5</x:v>
      </x:c>
    </x:row>
    <x:row r="62" ht="50" customHeight="1">
      <x:c r="A62" s="26" t="n">
        <x:v>61</x:v>
      </x:c>
      <x:c r="B62" s="28" t="n">
        <x:f>ROUND((S62*Scoring_Model!$B$4+T62*Scoring_Model!$B$5+U62*Scoring_Model!$B$6+V62*Scoring_Model!$B$7+W62*Scoring_Model!$B$8)/Scoring_Model!$B$9*Scoring_Model!$B$10,1)</x:f>
        <x:v>100</x:v>
      </x:c>
      <x:c r="C62" s="20" t="str">
        <x:f>IF(B62&gt;=Scoring_Model!$B$11,"T1",IF(B62&gt;=Scoring_Model!$B$12,"T2","T3"))</x:f>
        <x:v>T1</x:v>
      </x:c>
      <x:c r="D62" s="20" t="str">
        <x:v>Frameworks / memory / OSS</x:v>
      </x:c>
      <x:c r="E62" s="20" t="str">
        <x:v>Brace Sproul</x:v>
      </x:c>
      <x:c r="F62" s="20" t="str">
        <x:v>LangChain / LangGraph</x:v>
      </x:c>
      <x:c r="G62" s="20" t="str">
        <x:v>LangGraph technical builder</x:v>
      </x:c>
      <x:c r="H62" s="20" t="str">
        <x:v>durable agents, runtime, persistence</x:v>
      </x:c>
      <x:c r="I62" s="20" t="str">
        <x:v>Yes</x:v>
      </x:c>
      <x:c r="J62" s="20" t="str">
        <x:v>GitHub PRs/issues, releases, technical posts</x:v>
      </x:c>
      <x:c r="K62" s="32" t="str"/>
      <x:c r="L62" s="20" t="str">
        <x:v>Not resolved</x:v>
      </x:c>
      <x:c r="M62" s="20" t="str">
        <x:v>On PR/release</x:v>
      </x:c>
      <x:c r="N62" s="20" t="str">
        <x:v>Medium</x:v>
      </x:c>
      <x:c r="O62" s="30" t="str">
        <x:v>2026-07-13</x:v>
      </x:c>
      <x:c r="P62" s="20" t="str">
        <x:v>Behind-the-scenes implementation signal from the LangGraph runtime.</x:v>
      </x:c>
      <x:c r="Q62" s="32" t="str">
        <x:v>https://github.com/langchain-ai/langgraph</x:v>
      </x:c>
      <x:c r="R62" s="32" t="str">
        <x:v>https://github.com/langchain-ai</x:v>
      </x:c>
      <x:c r="S62" s="26" t="n">
        <x:v>5</x:v>
      </x:c>
      <x:c r="T62" s="26" t="n">
        <x:v>5</x:v>
      </x:c>
      <x:c r="U62" s="26" t="n">
        <x:v>5</x:v>
      </x:c>
      <x:c r="V62" s="26" t="n">
        <x:v>5</x:v>
      </x:c>
      <x:c r="W62" s="26" t="n">
        <x:v>5</x:v>
      </x:c>
    </x:row>
    <x:row r="63" ht="50" customHeight="1">
      <x:c r="A63" s="26" t="n">
        <x:v>62</x:v>
      </x:c>
      <x:c r="B63" s="28" t="n">
        <x:f>ROUND((S63*Scoring_Model!$B$4+T63*Scoring_Model!$B$5+U63*Scoring_Model!$B$6+V63*Scoring_Model!$B$7+W63*Scoring_Model!$B$8)/Scoring_Model!$B$9*Scoring_Model!$B$10,1)</x:f>
        <x:v>96</x:v>
      </x:c>
      <x:c r="C63" s="20" t="str">
        <x:f>IF(B63&gt;=Scoring_Model!$B$11,"T1",IF(B63&gt;=Scoring_Model!$B$12,"T2","T3"))</x:f>
        <x:v>T2</x:v>
      </x:c>
      <x:c r="D63" s="20" t="str">
        <x:v>Frameworks / memory / OSS</x:v>
      </x:c>
      <x:c r="E63" s="20" t="str">
        <x:v>Jerry Liu</x:v>
      </x:c>
      <x:c r="F63" s="20" t="str">
        <x:v>LlamaIndex</x:v>
      </x:c>
      <x:c r="G63" s="20" t="str">
        <x:v>Co-founder and CEO; technical founder</x:v>
      </x:c>
      <x:c r="H63" s="20" t="str">
        <x:v>data agents, RAG, workflows, context</x:v>
      </x:c>
      <x:c r="I63" s="20" t="str">
        <x:v>Mixed</x:v>
      </x:c>
      <x:c r="J63" s="20" t="str">
        <x:v>LlamaIndex releases, blog, X</x:v>
      </x:c>
      <x:c r="K63" s="32" t="str">
        <x:v>@jerryjliu0</x:v>
      </x:c>
      <x:c r="L63" s="20" t="str">
        <x:v>Verified</x:v>
      </x:c>
      <x:c r="M63" s="20" t="str">
        <x:v>Daily</x:v>
      </x:c>
      <x:c r="N63" s="20" t="str">
        <x:v>High</x:v>
      </x:c>
      <x:c r="O63" s="30" t="str">
        <x:v>2026-07-13</x:v>
      </x:c>
      <x:c r="P63" s="20" t="str">
        <x:v>Strong signal on data-connected agents, retrieval, and workflow abstractions.</x:v>
      </x:c>
      <x:c r="Q63" s="32" t="str">
        <x:v>https://github.com/run-llama/llama_index</x:v>
      </x:c>
      <x:c r="R63" s="32" t="str">
        <x:v>https://www.llamaindex.ai/blog</x:v>
      </x:c>
      <x:c r="S63" s="26" t="n">
        <x:v>5</x:v>
      </x:c>
      <x:c r="T63" s="26" t="n">
        <x:v>5</x:v>
      </x:c>
      <x:c r="U63" s="26" t="n">
        <x:v>5</x:v>
      </x:c>
      <x:c r="V63" s="26" t="n">
        <x:v>4</x:v>
      </x:c>
      <x:c r="W63" s="26" t="n">
        <x:v>5</x:v>
      </x:c>
    </x:row>
    <x:row r="64" ht="50" customHeight="1">
      <x:c r="A64" s="26" t="n">
        <x:v>63</x:v>
      </x:c>
      <x:c r="B64" s="28" t="n">
        <x:f>ROUND((S64*Scoring_Model!$B$4+T64*Scoring_Model!$B$5+U64*Scoring_Model!$B$6+V64*Scoring_Model!$B$7+W64*Scoring_Model!$B$8)/Scoring_Model!$B$9*Scoring_Model!$B$10,1)</x:f>
        <x:v>96</x:v>
      </x:c>
      <x:c r="C64" s="20" t="str">
        <x:f>IF(B64&gt;=Scoring_Model!$B$11,"T1",IF(B64&gt;=Scoring_Model!$B$12,"T2","T3"))</x:f>
        <x:v>T2</x:v>
      </x:c>
      <x:c r="D64" s="20" t="str">
        <x:v>Frameworks / memory / OSS</x:v>
      </x:c>
      <x:c r="E64" s="20" t="str">
        <x:v>Simon Suo</x:v>
      </x:c>
      <x:c r="F64" s="20" t="str">
        <x:v>LlamaIndex</x:v>
      </x:c>
      <x:c r="G64" s="20" t="str">
        <x:v>Co-founder/CTO</x:v>
      </x:c>
      <x:c r="H64" s="20" t="str">
        <x:v>RAG infrastructure, workflows, agent systems</x:v>
      </x:c>
      <x:c r="I64" s="20" t="str">
        <x:v>Yes</x:v>
      </x:c>
      <x:c r="J64" s="20" t="str">
        <x:v>GitHub PRs, releases, technical talks</x:v>
      </x:c>
      <x:c r="K64" s="32" t="str"/>
      <x:c r="L64" s="20" t="str">
        <x:v>Not resolved</x:v>
      </x:c>
      <x:c r="M64" s="20" t="str">
        <x:v>Weekly</x:v>
      </x:c>
      <x:c r="N64" s="20" t="str">
        <x:v>High</x:v>
      </x:c>
      <x:c r="O64" s="30" t="str">
        <x:v>2026-07-13</x:v>
      </x:c>
      <x:c r="P64" s="20" t="str">
        <x:v>Technical systems perspective behind LlamaIndex's agent and retrieval stack.</x:v>
      </x:c>
      <x:c r="Q64" s="32" t="str">
        <x:v>https://github.com/run-llama/llama_index</x:v>
      </x:c>
      <x:c r="R64" s="32" t="str">
        <x:v>https://www.llamaindex.ai/</x:v>
      </x:c>
      <x:c r="S64" s="26" t="n">
        <x:v>5</x:v>
      </x:c>
      <x:c r="T64" s="26" t="n">
        <x:v>5</x:v>
      </x:c>
      <x:c r="U64" s="26" t="n">
        <x:v>5</x:v>
      </x:c>
      <x:c r="V64" s="26" t="n">
        <x:v>4</x:v>
      </x:c>
      <x:c r="W64" s="26" t="n">
        <x:v>5</x:v>
      </x:c>
    </x:row>
    <x:row r="65" ht="50" customHeight="1">
      <x:c r="A65" s="26" t="n">
        <x:v>64</x:v>
      </x:c>
      <x:c r="B65" s="28" t="n">
        <x:f>ROUND((S65*Scoring_Model!$B$4+T65*Scoring_Model!$B$5+U65*Scoring_Model!$B$6+V65*Scoring_Model!$B$7+W65*Scoring_Model!$B$8)/Scoring_Model!$B$9*Scoring_Model!$B$10,1)</x:f>
        <x:v>96</x:v>
      </x:c>
      <x:c r="C65" s="20" t="str">
        <x:f>IF(B65&gt;=Scoring_Model!$B$11,"T1",IF(B65&gt;=Scoring_Model!$B$12,"T2","T3"))</x:f>
        <x:v>T2</x:v>
      </x:c>
      <x:c r="D65" s="20" t="str">
        <x:v>Frameworks / memory / OSS</x:v>
      </x:c>
      <x:c r="E65" s="20" t="str">
        <x:v>João Moura</x:v>
      </x:c>
      <x:c r="F65" s="20" t="str">
        <x:v>CrewAI</x:v>
      </x:c>
      <x:c r="G65" s="20" t="str">
        <x:v>Founder and CEO; framework creator</x:v>
      </x:c>
      <x:c r="H65" s="20" t="str">
        <x:v>multi-agent crews, flows, enterprise orchestration</x:v>
      </x:c>
      <x:c r="I65" s="20" t="str">
        <x:v>Mixed</x:v>
      </x:c>
      <x:c r="J65" s="20" t="str">
        <x:v>CrewAI releases, GitHub, X</x:v>
      </x:c>
      <x:c r="K65" s="32" t="str">
        <x:v>@joaomdmoura</x:v>
      </x:c>
      <x:c r="L65" s="20" t="str">
        <x:v>Verified</x:v>
      </x:c>
      <x:c r="M65" s="20" t="str">
        <x:v>Daily</x:v>
      </x:c>
      <x:c r="N65" s="20" t="str">
        <x:v>High</x:v>
      </x:c>
      <x:c r="O65" s="30" t="str">
        <x:v>2026-07-13</x:v>
      </x:c>
      <x:c r="P65" s="20" t="str">
        <x:v>Direct source for CrewAI architecture and production multi-agent patterns.</x:v>
      </x:c>
      <x:c r="Q65" s="32" t="str">
        <x:v>https://github.com/crewAIInc/crewAI</x:v>
      </x:c>
      <x:c r="R65" s="32" t="str">
        <x:v>https://www.crewai.com/</x:v>
      </x:c>
      <x:c r="S65" s="26" t="n">
        <x:v>5</x:v>
      </x:c>
      <x:c r="T65" s="26" t="n">
        <x:v>5</x:v>
      </x:c>
      <x:c r="U65" s="26" t="n">
        <x:v>5</x:v>
      </x:c>
      <x:c r="V65" s="26" t="n">
        <x:v>4</x:v>
      </x:c>
      <x:c r="W65" s="26" t="n">
        <x:v>5</x:v>
      </x:c>
    </x:row>
    <x:row r="66" ht="50" customHeight="1">
      <x:c r="A66" s="26" t="n">
        <x:v>65</x:v>
      </x:c>
      <x:c r="B66" s="28" t="n">
        <x:f>ROUND((S66*Scoring_Model!$B$4+T66*Scoring_Model!$B$5+U66*Scoring_Model!$B$6+V66*Scoring_Model!$B$7+W66*Scoring_Model!$B$8)/Scoring_Model!$B$9*Scoring_Model!$B$10,1)</x:f>
        <x:v>100</x:v>
      </x:c>
      <x:c r="C66" s="20" t="str">
        <x:f>IF(B66&gt;=Scoring_Model!$B$11,"T1",IF(B66&gt;=Scoring_Model!$B$12,"T2","T3"))</x:f>
        <x:v>T1</x:v>
      </x:c>
      <x:c r="D66" s="20" t="str">
        <x:v>Frameworks / memory / OSS</x:v>
      </x:c>
      <x:c r="E66" s="20" t="str">
        <x:v>Chi Wang</x:v>
      </x:c>
      <x:c r="F66" s="20" t="str">
        <x:v>AutoGen / Microsoft Research</x:v>
      </x:c>
      <x:c r="G66" s="20" t="str">
        <x:v>AutoGen co-creator</x:v>
      </x:c>
      <x:c r="H66" s="20" t="str">
        <x:v>multi-agent conversation, orchestration, evaluation</x:v>
      </x:c>
      <x:c r="I66" s="20" t="str">
        <x:v>Yes</x:v>
      </x:c>
      <x:c r="J66" s="20" t="str">
        <x:v>AutoGen papers, repo, issues</x:v>
      </x:c>
      <x:c r="K66" s="32" t="str"/>
      <x:c r="L66" s="20" t="str">
        <x:v>Not resolved</x:v>
      </x:c>
      <x:c r="M66" s="20" t="str">
        <x:v>Weekly</x:v>
      </x:c>
      <x:c r="N66" s="20" t="str">
        <x:v>High</x:v>
      </x:c>
      <x:c r="O66" s="30" t="str">
        <x:v>2026-07-13</x:v>
      </x:c>
      <x:c r="P66" s="20" t="str">
        <x:v>Core author of one of the foundational multi-agent frameworks.</x:v>
      </x:c>
      <x:c r="Q66" s="32" t="str">
        <x:v>https://github.com/microsoft/autogen</x:v>
      </x:c>
      <x:c r="R66" s="32" t="str">
        <x:v>https://www.microsoft.com/en-us/research/project/autogen/</x:v>
      </x:c>
      <x:c r="S66" s="26" t="n">
        <x:v>5</x:v>
      </x:c>
      <x:c r="T66" s="26" t="n">
        <x:v>5</x:v>
      </x:c>
      <x:c r="U66" s="26" t="n">
        <x:v>5</x:v>
      </x:c>
      <x:c r="V66" s="26" t="n">
        <x:v>5</x:v>
      </x:c>
      <x:c r="W66" s="26" t="n">
        <x:v>5</x:v>
      </x:c>
    </x:row>
    <x:row r="67" ht="50" customHeight="1">
      <x:c r="A67" s="26" t="n">
        <x:v>66</x:v>
      </x:c>
      <x:c r="B67" s="28" t="n">
        <x:f>ROUND((S67*Scoring_Model!$B$4+T67*Scoring_Model!$B$5+U67*Scoring_Model!$B$6+V67*Scoring_Model!$B$7+W67*Scoring_Model!$B$8)/Scoring_Model!$B$9*Scoring_Model!$B$10,1)</x:f>
        <x:v>100</x:v>
      </x:c>
      <x:c r="C67" s="20" t="str">
        <x:f>IF(B67&gt;=Scoring_Model!$B$11,"T1",IF(B67&gt;=Scoring_Model!$B$12,"T2","T3"))</x:f>
        <x:v>T1</x:v>
      </x:c>
      <x:c r="D67" s="20" t="str">
        <x:v>Frameworks / memory / OSS</x:v>
      </x:c>
      <x:c r="E67" s="20" t="str">
        <x:v>Qingyun Wu</x:v>
      </x:c>
      <x:c r="F67" s="20" t="str">
        <x:v>AutoGen / Microsoft Research</x:v>
      </x:c>
      <x:c r="G67" s="20" t="str">
        <x:v>AutoGen co-creator</x:v>
      </x:c>
      <x:c r="H67" s="20" t="str">
        <x:v>multi-agent systems, tool use, evaluation</x:v>
      </x:c>
      <x:c r="I67" s="20" t="str">
        <x:v>Yes</x:v>
      </x:c>
      <x:c r="J67" s="20" t="str">
        <x:v>Papers, GitHub PRs/issues</x:v>
      </x:c>
      <x:c r="K67" s="32" t="str"/>
      <x:c r="L67" s="20" t="str">
        <x:v>Not resolved</x:v>
      </x:c>
      <x:c r="M67" s="20" t="str">
        <x:v>Weekly</x:v>
      </x:c>
      <x:c r="N67" s="20" t="str">
        <x:v>High</x:v>
      </x:c>
      <x:c r="O67" s="30" t="str">
        <x:v>2026-07-13</x:v>
      </x:c>
      <x:c r="P67" s="20" t="str">
        <x:v>Direct research and implementation signal on AutoGen.</x:v>
      </x:c>
      <x:c r="Q67" s="32" t="str">
        <x:v>https://github.com/microsoft/autogen</x:v>
      </x:c>
      <x:c r="R67" s="32" t="str">
        <x:v>https://www.microsoft.com/en-us/research/project/autogen/</x:v>
      </x:c>
      <x:c r="S67" s="26" t="n">
        <x:v>5</x:v>
      </x:c>
      <x:c r="T67" s="26" t="n">
        <x:v>5</x:v>
      </x:c>
      <x:c r="U67" s="26" t="n">
        <x:v>5</x:v>
      </x:c>
      <x:c r="V67" s="26" t="n">
        <x:v>5</x:v>
      </x:c>
      <x:c r="W67" s="26" t="n">
        <x:v>5</x:v>
      </x:c>
    </x:row>
    <x:row r="68" ht="50" customHeight="1">
      <x:c r="A68" s="26" t="n">
        <x:v>67</x:v>
      </x:c>
      <x:c r="B68" s="28" t="n">
        <x:f>ROUND((S68*Scoring_Model!$B$4+T68*Scoring_Model!$B$5+U68*Scoring_Model!$B$6+V68*Scoring_Model!$B$7+W68*Scoring_Model!$B$8)/Scoring_Model!$B$9*Scoring_Model!$B$10,1)</x:f>
        <x:v>96</x:v>
      </x:c>
      <x:c r="C68" s="20" t="str">
        <x:f>IF(B68&gt;=Scoring_Model!$B$11,"T1",IF(B68&gt;=Scoring_Model!$B$12,"T2","T3"))</x:f>
        <x:v>T2</x:v>
      </x:c>
      <x:c r="D68" s="20" t="str">
        <x:v>Frameworks / memory / OSS</x:v>
      </x:c>
      <x:c r="E68" s="20" t="str">
        <x:v>Gagan Bansal</x:v>
      </x:c>
      <x:c r="F68" s="20" t="str">
        <x:v>Microsoft Research / AutoGen</x:v>
      </x:c>
      <x:c r="G68" s="20" t="str">
        <x:v>AutoGen co-author</x:v>
      </x:c>
      <x:c r="H68" s="20" t="str">
        <x:v>human-AI interaction, multi-agent systems</x:v>
      </x:c>
      <x:c r="I68" s="20" t="str">
        <x:v>Yes</x:v>
      </x:c>
      <x:c r="J68" s="20" t="str">
        <x:v>Papers, Microsoft Research, repo discussions</x:v>
      </x:c>
      <x:c r="K68" s="32" t="str"/>
      <x:c r="L68" s="20" t="str">
        <x:v>Not resolved</x:v>
      </x:c>
      <x:c r="M68" s="20" t="str">
        <x:v>Weekly</x:v>
      </x:c>
      <x:c r="N68" s="20" t="str">
        <x:v>High</x:v>
      </x:c>
      <x:c r="O68" s="30" t="str">
        <x:v>2026-07-13</x:v>
      </x:c>
      <x:c r="P68" s="20" t="str">
        <x:v>Co-author on AutoGen with useful human-in-the-loop and agent-system perspective.</x:v>
      </x:c>
      <x:c r="Q68" s="32" t="str">
        <x:v>https://github.com/microsoft/autogen</x:v>
      </x:c>
      <x:c r="R68" s="32" t="str">
        <x:v>https://www.microsoft.com/en-us/research/project/autogen/</x:v>
      </x:c>
      <x:c r="S68" s="26" t="n">
        <x:v>5</x:v>
      </x:c>
      <x:c r="T68" s="26" t="n">
        <x:v>5</x:v>
      </x:c>
      <x:c r="U68" s="26" t="n">
        <x:v>4</x:v>
      </x:c>
      <x:c r="V68" s="26" t="n">
        <x:v>5</x:v>
      </x:c>
      <x:c r="W68" s="26" t="n">
        <x:v>5</x:v>
      </x:c>
    </x:row>
    <x:row r="69" ht="50" customHeight="1">
      <x:c r="A69" s="26" t="n">
        <x:v>68</x:v>
      </x:c>
      <x:c r="B69" s="28" t="n">
        <x:f>ROUND((S69*Scoring_Model!$B$4+T69*Scoring_Model!$B$5+U69*Scoring_Model!$B$6+V69*Scoring_Model!$B$7+W69*Scoring_Model!$B$8)/Scoring_Model!$B$9*Scoring_Model!$B$10,1)</x:f>
        <x:v>100</x:v>
      </x:c>
      <x:c r="C69" s="20" t="str">
        <x:f>IF(B69&gt;=Scoring_Model!$B$11,"T1",IF(B69&gt;=Scoring_Model!$B$12,"T2","T3"))</x:f>
        <x:v>T1</x:v>
      </x:c>
      <x:c r="D69" s="20" t="str">
        <x:v>Frameworks / memory / OSS</x:v>
      </x:c>
      <x:c r="E69" s="20" t="str">
        <x:v>Charles Packer</x:v>
      </x:c>
      <x:c r="F69" s="20" t="str">
        <x:v>Letta</x:v>
      </x:c>
      <x:c r="G69" s="20" t="str">
        <x:v>Co-founder; memory-system researcher</x:v>
      </x:c>
      <x:c r="H69" s="20" t="str">
        <x:v>stateful agents, memory, sleep-time compute</x:v>
      </x:c>
      <x:c r="I69" s="20" t="str">
        <x:v>Yes</x:v>
      </x:c>
      <x:c r="J69" s="20" t="str">
        <x:v>Letta releases, papers, GitHub, X</x:v>
      </x:c>
      <x:c r="K69" s="32" t="str"/>
      <x:c r="L69" s="20" t="str">
        <x:v>Not resolved</x:v>
      </x:c>
      <x:c r="M69" s="20" t="str">
        <x:v>2x weekly</x:v>
      </x:c>
      <x:c r="N69" s="20" t="str">
        <x:v>High</x:v>
      </x:c>
      <x:c r="O69" s="30" t="str">
        <x:v>2026-07-13</x:v>
      </x:c>
      <x:c r="P69" s="20" t="str">
        <x:v>One of the strongest direct sources on persistent state and memory-first agents.</x:v>
      </x:c>
      <x:c r="Q69" s="32" t="str">
        <x:v>https://arxiv.org/abs/2504.13173</x:v>
      </x:c>
      <x:c r="R69" s="32" t="str">
        <x:v>https://github.com/letta-ai/letta</x:v>
      </x:c>
      <x:c r="S69" s="26" t="n">
        <x:v>5</x:v>
      </x:c>
      <x:c r="T69" s="26" t="n">
        <x:v>5</x:v>
      </x:c>
      <x:c r="U69" s="26" t="n">
        <x:v>5</x:v>
      </x:c>
      <x:c r="V69" s="26" t="n">
        <x:v>5</x:v>
      </x:c>
      <x:c r="W69" s="26" t="n">
        <x:v>5</x:v>
      </x:c>
    </x:row>
    <x:row r="70" ht="50" customHeight="1">
      <x:c r="A70" s="26" t="n">
        <x:v>69</x:v>
      </x:c>
      <x:c r="B70" s="28" t="n">
        <x:f>ROUND((S70*Scoring_Model!$B$4+T70*Scoring_Model!$B$5+U70*Scoring_Model!$B$6+V70*Scoring_Model!$B$7+W70*Scoring_Model!$B$8)/Scoring_Model!$B$9*Scoring_Model!$B$10,1)</x:f>
        <x:v>100</x:v>
      </x:c>
      <x:c r="C70" s="20" t="str">
        <x:f>IF(B70&gt;=Scoring_Model!$B$11,"T1",IF(B70&gt;=Scoring_Model!$B$12,"T2","T3"))</x:f>
        <x:v>T1</x:v>
      </x:c>
      <x:c r="D70" s="20" t="str">
        <x:v>Frameworks / memory / OSS</x:v>
      </x:c>
      <x:c r="E70" s="20" t="str">
        <x:v>Sarah Wooders</x:v>
      </x:c>
      <x:c r="F70" s="20" t="str">
        <x:v>Letta</x:v>
      </x:c>
      <x:c r="G70" s="20" t="str">
        <x:v>Co-founder/researcher</x:v>
      </x:c>
      <x:c r="H70" s="20" t="str">
        <x:v>agent memory, state, long-horizon behavior</x:v>
      </x:c>
      <x:c r="I70" s="20" t="str">
        <x:v>Yes</x:v>
      </x:c>
      <x:c r="J70" s="20" t="str">
        <x:v>Papers, Letta GitHub, technical posts</x:v>
      </x:c>
      <x:c r="K70" s="32" t="str"/>
      <x:c r="L70" s="20" t="str">
        <x:v>Not resolved</x:v>
      </x:c>
      <x:c r="M70" s="20" t="str">
        <x:v>Weekly</x:v>
      </x:c>
      <x:c r="N70" s="20" t="str">
        <x:v>High</x:v>
      </x:c>
      <x:c r="O70" s="30" t="str">
        <x:v>2026-07-13</x:v>
      </x:c>
      <x:c r="P70" s="20" t="str">
        <x:v>Co-author on memory and sleep-time compute for agents.</x:v>
      </x:c>
      <x:c r="Q70" s="32" t="str">
        <x:v>https://arxiv.org/abs/2504.13173</x:v>
      </x:c>
      <x:c r="R70" s="32" t="str">
        <x:v>https://github.com/letta-ai/letta</x:v>
      </x:c>
      <x:c r="S70" s="26" t="n">
        <x:v>5</x:v>
      </x:c>
      <x:c r="T70" s="26" t="n">
        <x:v>5</x:v>
      </x:c>
      <x:c r="U70" s="26" t="n">
        <x:v>5</x:v>
      </x:c>
      <x:c r="V70" s="26" t="n">
        <x:v>5</x:v>
      </x:c>
      <x:c r="W70" s="26" t="n">
        <x:v>5</x:v>
      </x:c>
    </x:row>
    <x:row r="71" ht="50" customHeight="1">
      <x:c r="A71" s="26" t="n">
        <x:v>70</x:v>
      </x:c>
      <x:c r="B71" s="28" t="n">
        <x:f>ROUND((S71*Scoring_Model!$B$4+T71*Scoring_Model!$B$5+U71*Scoring_Model!$B$6+V71*Scoring_Model!$B$7+W71*Scoring_Model!$B$8)/Scoring_Model!$B$9*Scoring_Model!$B$10,1)</x:f>
        <x:v>96</x:v>
      </x:c>
      <x:c r="C71" s="20" t="str">
        <x:f>IF(B71&gt;=Scoring_Model!$B$11,"T1",IF(B71&gt;=Scoring_Model!$B$12,"T2","T3"))</x:f>
        <x:v>T2</x:v>
      </x:c>
      <x:c r="D71" s="20" t="str">
        <x:v>Frameworks / memory / OSS</x:v>
      </x:c>
      <x:c r="E71" s="20" t="str">
        <x:v>Charlie Snell</x:v>
      </x:c>
      <x:c r="F71" s="20" t="str">
        <x:v>Letta / research</x:v>
      </x:c>
      <x:c r="G71" s="20" t="str">
        <x:v>Memory-system researcher</x:v>
      </x:c>
      <x:c r="H71" s="20" t="str">
        <x:v>sleep-time compute, agent memory, adaptation</x:v>
      </x:c>
      <x:c r="I71" s="20" t="str">
        <x:v>Yes</x:v>
      </x:c>
      <x:c r="J71" s="20" t="str">
        <x:v>Papers, code, X</x:v>
      </x:c>
      <x:c r="K71" s="32" t="str"/>
      <x:c r="L71" s="20" t="str">
        <x:v>Not resolved</x:v>
      </x:c>
      <x:c r="M71" s="20" t="str">
        <x:v>On paper/code</x:v>
      </x:c>
      <x:c r="N71" s="20" t="str">
        <x:v>High</x:v>
      </x:c>
      <x:c r="O71" s="30" t="str">
        <x:v>2026-07-13</x:v>
      </x:c>
      <x:c r="P71" s="20" t="str">
        <x:v>Research signal on agents that improve and reorganize memory between interactions.</x:v>
      </x:c>
      <x:c r="Q71" s="32" t="str">
        <x:v>https://arxiv.org/abs/2504.13173</x:v>
      </x:c>
      <x:c r="R71" s="32" t="str">
        <x:v>https://github.com/letta-ai/letta</x:v>
      </x:c>
      <x:c r="S71" s="26" t="n">
        <x:v>5</x:v>
      </x:c>
      <x:c r="T71" s="26" t="n">
        <x:v>5</x:v>
      </x:c>
      <x:c r="U71" s="26" t="n">
        <x:v>4</x:v>
      </x:c>
      <x:c r="V71" s="26" t="n">
        <x:v>5</x:v>
      </x:c>
      <x:c r="W71" s="26" t="n">
        <x:v>5</x:v>
      </x:c>
    </x:row>
    <x:row r="72" ht="50" customHeight="1">
      <x:c r="A72" s="26" t="n">
        <x:v>71</x:v>
      </x:c>
      <x:c r="B72" s="28" t="n">
        <x:f>ROUND((S72*Scoring_Model!$B$4+T72*Scoring_Model!$B$5+U72*Scoring_Model!$B$6+V72*Scoring_Model!$B$7+W72*Scoring_Model!$B$8)/Scoring_Model!$B$9*Scoring_Model!$B$10,1)</x:f>
        <x:v>96</x:v>
      </x:c>
      <x:c r="C72" s="20" t="str">
        <x:f>IF(B72&gt;=Scoring_Model!$B$11,"T1",IF(B72&gt;=Scoring_Model!$B$12,"T2","T3"))</x:f>
        <x:v>T2</x:v>
      </x:c>
      <x:c r="D72" s="20" t="str">
        <x:v>Frameworks / memory / OSS</x:v>
      </x:c>
      <x:c r="E72" s="20" t="str">
        <x:v>Taranjeet Singh</x:v>
      </x:c>
      <x:c r="F72" s="20" t="str">
        <x:v>Mem0</x:v>
      </x:c>
      <x:c r="G72" s="20" t="str">
        <x:v>Co-founder</x:v>
      </x:c>
      <x:c r="H72" s="20" t="str">
        <x:v>agent memory, memory extraction, personalization</x:v>
      </x:c>
      <x:c r="I72" s="20" t="str">
        <x:v>Mixed</x:v>
      </x:c>
      <x:c r="J72" s="20" t="str">
        <x:v>Mem0 releases, GitHub, technical posts</x:v>
      </x:c>
      <x:c r="K72" s="32" t="str"/>
      <x:c r="L72" s="20" t="str">
        <x:v>Not resolved</x:v>
      </x:c>
      <x:c r="M72" s="20" t="str">
        <x:v>2x weekly</x:v>
      </x:c>
      <x:c r="N72" s="20" t="str">
        <x:v>High</x:v>
      </x:c>
      <x:c r="O72" s="30" t="str">
        <x:v>2026-07-13</x:v>
      </x:c>
      <x:c r="P72" s="20" t="str">
        <x:v>Direct product and architecture signal from a widely used agent-memory system.</x:v>
      </x:c>
      <x:c r="Q72" s="32" t="str">
        <x:v>https://github.com/mem0ai/mem0</x:v>
      </x:c>
      <x:c r="R72" s="32" t="str">
        <x:v>https://mem0.ai/</x:v>
      </x:c>
      <x:c r="S72" s="26" t="n">
        <x:v>5</x:v>
      </x:c>
      <x:c r="T72" s="26" t="n">
        <x:v>5</x:v>
      </x:c>
      <x:c r="U72" s="26" t="n">
        <x:v>5</x:v>
      </x:c>
      <x:c r="V72" s="26" t="n">
        <x:v>4</x:v>
      </x:c>
      <x:c r="W72" s="26" t="n">
        <x:v>5</x:v>
      </x:c>
    </x:row>
    <x:row r="73" ht="50" customHeight="1">
      <x:c r="A73" s="26" t="n">
        <x:v>72</x:v>
      </x:c>
      <x:c r="B73" s="28" t="n">
        <x:f>ROUND((S73*Scoring_Model!$B$4+T73*Scoring_Model!$B$5+U73*Scoring_Model!$B$6+V73*Scoring_Model!$B$7+W73*Scoring_Model!$B$8)/Scoring_Model!$B$9*Scoring_Model!$B$10,1)</x:f>
        <x:v>100</x:v>
      </x:c>
      <x:c r="C73" s="20" t="str">
        <x:f>IF(B73&gt;=Scoring_Model!$B$11,"T1",IF(B73&gt;=Scoring_Model!$B$12,"T2","T3"))</x:f>
        <x:v>T1</x:v>
      </x:c>
      <x:c r="D73" s="20" t="str">
        <x:v>Frameworks / memory / OSS</x:v>
      </x:c>
      <x:c r="E73" s="20" t="str">
        <x:v>Deshraj Yadav</x:v>
      </x:c>
      <x:c r="F73" s="20" t="str">
        <x:v>Mem0</x:v>
      </x:c>
      <x:c r="G73" s="20" t="str">
        <x:v>Co-founder/CTO</x:v>
      </x:c>
      <x:c r="H73" s="20" t="str">
        <x:v>agent memory, storage, retrieval, personalization</x:v>
      </x:c>
      <x:c r="I73" s="20" t="str">
        <x:v>Yes</x:v>
      </x:c>
      <x:c r="J73" s="20" t="str">
        <x:v>Mem0 PRs/releases, X, technical posts</x:v>
      </x:c>
      <x:c r="K73" s="32" t="str">
        <x:v>@deshraj</x:v>
      </x:c>
      <x:c r="L73" s="20" t="str">
        <x:v>High-confidence handle</x:v>
      </x:c>
      <x:c r="M73" s="20" t="str">
        <x:v>2x weekly</x:v>
      </x:c>
      <x:c r="N73" s="20" t="str">
        <x:v>High</x:v>
      </x:c>
      <x:c r="O73" s="30" t="str">
        <x:v>2026-07-13</x:v>
      </x:c>
      <x:c r="P73" s="20" t="str">
        <x:v>Technical implementation signal behind Mem0's memory layer.</x:v>
      </x:c>
      <x:c r="Q73" s="32" t="str">
        <x:v>https://github.com/mem0ai/mem0</x:v>
      </x:c>
      <x:c r="R73" s="32" t="str">
        <x:v>https://mem0.ai/</x:v>
      </x:c>
      <x:c r="S73" s="26" t="n">
        <x:v>5</x:v>
      </x:c>
      <x:c r="T73" s="26" t="n">
        <x:v>5</x:v>
      </x:c>
      <x:c r="U73" s="26" t="n">
        <x:v>5</x:v>
      </x:c>
      <x:c r="V73" s="26" t="n">
        <x:v>5</x:v>
      </x:c>
      <x:c r="W73" s="26" t="n">
        <x:v>5</x:v>
      </x:c>
    </x:row>
    <x:row r="74" ht="50" customHeight="1">
      <x:c r="A74" s="26" t="n">
        <x:v>73</x:v>
      </x:c>
      <x:c r="B74" s="28" t="n">
        <x:f>ROUND((S74*Scoring_Model!$B$4+T74*Scoring_Model!$B$5+U74*Scoring_Model!$B$6+V74*Scoring_Model!$B$7+W74*Scoring_Model!$B$8)/Scoring_Model!$B$9*Scoring_Model!$B$10,1)</x:f>
        <x:v>96</x:v>
      </x:c>
      <x:c r="C74" s="20" t="str">
        <x:f>IF(B74&gt;=Scoring_Model!$B$11,"T1",IF(B74&gt;=Scoring_Model!$B$12,"T2","T3"))</x:f>
        <x:v>T2</x:v>
      </x:c>
      <x:c r="D74" s="20" t="str">
        <x:v>Frameworks / memory / OSS</x:v>
      </x:c>
      <x:c r="E74" s="20" t="str">
        <x:v>Daniel Chalef</x:v>
      </x:c>
      <x:c r="F74" s="20" t="str">
        <x:v>Zep</x:v>
      </x:c>
      <x:c r="G74" s="20" t="str">
        <x:v>Founder</x:v>
      </x:c>
      <x:c r="H74" s="20" t="str">
        <x:v>temporal knowledge graphs, agent memory, context assembly</x:v>
      </x:c>
      <x:c r="I74" s="20" t="str">
        <x:v>Mixed</x:v>
      </x:c>
      <x:c r="J74" s="20" t="str">
        <x:v>Zep releases, technical blog, GitHub</x:v>
      </x:c>
      <x:c r="K74" s="32" t="str"/>
      <x:c r="L74" s="20" t="str">
        <x:v>Not resolved</x:v>
      </x:c>
      <x:c r="M74" s="20" t="str">
        <x:v>Weekly</x:v>
      </x:c>
      <x:c r="N74" s="20" t="str">
        <x:v>High</x:v>
      </x:c>
      <x:c r="O74" s="30" t="str">
        <x:v>2026-07-13</x:v>
      </x:c>
      <x:c r="P74" s="20" t="str">
        <x:v>Useful source for graph-based and temporal memory approaches.</x:v>
      </x:c>
      <x:c r="Q74" s="32" t="str">
        <x:v>https://www.getzep.com/</x:v>
      </x:c>
      <x:c r="R74" s="32" t="str">
        <x:v>https://github.com/getzep</x:v>
      </x:c>
      <x:c r="S74" s="26" t="n">
        <x:v>5</x:v>
      </x:c>
      <x:c r="T74" s="26" t="n">
        <x:v>5</x:v>
      </x:c>
      <x:c r="U74" s="26" t="n">
        <x:v>5</x:v>
      </x:c>
      <x:c r="V74" s="26" t="n">
        <x:v>4</x:v>
      </x:c>
      <x:c r="W74" s="26" t="n">
        <x:v>5</x:v>
      </x:c>
    </x:row>
    <x:row r="75" ht="50" customHeight="1">
      <x:c r="A75" s="26" t="n">
        <x:v>74</x:v>
      </x:c>
      <x:c r="B75" s="28" t="n">
        <x:f>ROUND((S75*Scoring_Model!$B$4+T75*Scoring_Model!$B$5+U75*Scoring_Model!$B$6+V75*Scoring_Model!$B$7+W75*Scoring_Model!$B$8)/Scoring_Model!$B$9*Scoring_Model!$B$10,1)</x:f>
        <x:v>96</x:v>
      </x:c>
      <x:c r="C75" s="20" t="str">
        <x:f>IF(B75&gt;=Scoring_Model!$B$11,"T1",IF(B75&gt;=Scoring_Model!$B$12,"T2","T3"))</x:f>
        <x:v>T2</x:v>
      </x:c>
      <x:c r="D75" s="20" t="str">
        <x:v>Frameworks / memory / OSS</x:v>
      </x:c>
      <x:c r="E75" s="20" t="str">
        <x:v>Samuel Colvin</x:v>
      </x:c>
      <x:c r="F75" s="20" t="str">
        <x:v>Pydantic</x:v>
      </x:c>
      <x:c r="G75" s="20" t="str">
        <x:v>Founder/CEO; creator of PydanticAI</x:v>
      </x:c>
      <x:c r="H75" s="20" t="str">
        <x:v>typed agents, evals, observability, sandboxes</x:v>
      </x:c>
      <x:c r="I75" s="20" t="str">
        <x:v>Mixed</x:v>
      </x:c>
      <x:c r="J75" s="20" t="str">
        <x:v>Pydantic releases/blog, GitHub, X</x:v>
      </x:c>
      <x:c r="K75" s="32" t="str">
        <x:v>@samuel_colvin</x:v>
      </x:c>
      <x:c r="L75" s="20" t="str">
        <x:v>Verified</x:v>
      </x:c>
      <x:c r="M75" s="20" t="str">
        <x:v>2x weekly</x:v>
      </x:c>
      <x:c r="N75" s="20" t="str">
        <x:v>High</x:v>
      </x:c>
      <x:c r="O75" s="30" t="str">
        <x:v>2026-07-13</x:v>
      </x:c>
      <x:c r="P75" s="20" t="str">
        <x:v>Sets technical direction for a strongly typed production-agent framework.</x:v>
      </x:c>
      <x:c r="Q75" s="32" t="str">
        <x:v>https://pydantic.dev/about</x:v>
      </x:c>
      <x:c r="R75" s="32" t="str">
        <x:v>https://github.com/pydantic/pydantic-ai</x:v>
      </x:c>
      <x:c r="S75" s="26" t="n">
        <x:v>5</x:v>
      </x:c>
      <x:c r="T75" s="26" t="n">
        <x:v>5</x:v>
      </x:c>
      <x:c r="U75" s="26" t="n">
        <x:v>5</x:v>
      </x:c>
      <x:c r="V75" s="26" t="n">
        <x:v>4</x:v>
      </x:c>
      <x:c r="W75" s="26" t="n">
        <x:v>5</x:v>
      </x:c>
    </x:row>
    <x:row r="76" ht="50" customHeight="1">
      <x:c r="A76" s="26" t="n">
        <x:v>75</x:v>
      </x:c>
      <x:c r="B76" s="28" t="n">
        <x:f>ROUND((S76*Scoring_Model!$B$4+T76*Scoring_Model!$B$5+U76*Scoring_Model!$B$6+V76*Scoring_Model!$B$7+W76*Scoring_Model!$B$8)/Scoring_Model!$B$9*Scoring_Model!$B$10,1)</x:f>
        <x:v>100</x:v>
      </x:c>
      <x:c r="C76" s="20" t="str">
        <x:f>IF(B76&gt;=Scoring_Model!$B$11,"T1",IF(B76&gt;=Scoring_Model!$B$12,"T2","T3"))</x:f>
        <x:v>T1</x:v>
      </x:c>
      <x:c r="D76" s="20" t="str">
        <x:v>Frameworks / memory / OSS</x:v>
      </x:c>
      <x:c r="E76" s="20" t="str">
        <x:v>Douwe Maan</x:v>
      </x:c>
      <x:c r="F76" s="20" t="str">
        <x:v>PydanticAI</x:v>
      </x:c>
      <x:c r="G76" s="20" t="str">
        <x:v>Lead engineer</x:v>
      </x:c>
      <x:c r="H76" s="20" t="str">
        <x:v>agent runtime, security, core framework maintenance</x:v>
      </x:c>
      <x:c r="I76" s="20" t="str">
        <x:v>Yes</x:v>
      </x:c>
      <x:c r="J76" s="20" t="str">
        <x:v>PydanticAI PRs/issues/releases</x:v>
      </x:c>
      <x:c r="K76" s="32" t="str"/>
      <x:c r="L76" s="20" t="str">
        <x:v>Not resolved</x:v>
      </x:c>
      <x:c r="M76" s="20" t="str">
        <x:v>On PR/release</x:v>
      </x:c>
      <x:c r="N76" s="20" t="str">
        <x:v>High</x:v>
      </x:c>
      <x:c r="O76" s="30" t="str">
        <x:v>2026-07-13</x:v>
      </x:c>
      <x:c r="P76" s="20" t="str">
        <x:v>Day-to-day implementation and security signal from PydanticAI's core.</x:v>
      </x:c>
      <x:c r="Q76" s="32" t="str">
        <x:v>https://github.com/DouweM</x:v>
      </x:c>
      <x:c r="R76" s="32" t="str">
        <x:v>https://github.com/pydantic/pydantic-ai</x:v>
      </x:c>
      <x:c r="S76" s="26" t="n">
        <x:v>5</x:v>
      </x:c>
      <x:c r="T76" s="26" t="n">
        <x:v>5</x:v>
      </x:c>
      <x:c r="U76" s="26" t="n">
        <x:v>5</x:v>
      </x:c>
      <x:c r="V76" s="26" t="n">
        <x:v>5</x:v>
      </x:c>
      <x:c r="W76" s="26" t="n">
        <x:v>5</x:v>
      </x:c>
    </x:row>
    <x:row r="77" ht="50" customHeight="1">
      <x:c r="A77" s="26" t="n">
        <x:v>76</x:v>
      </x:c>
      <x:c r="B77" s="28" t="n">
        <x:f>ROUND((S77*Scoring_Model!$B$4+T77*Scoring_Model!$B$5+U77*Scoring_Model!$B$6+V77*Scoring_Model!$B$7+W77*Scoring_Model!$B$8)/Scoring_Model!$B$9*Scoring_Model!$B$10,1)</x:f>
        <x:v>100</x:v>
      </x:c>
      <x:c r="C77" s="20" t="str">
        <x:f>IF(B77&gt;=Scoring_Model!$B$11,"T1",IF(B77&gt;=Scoring_Model!$B$12,"T2","T3"))</x:f>
        <x:v>T1</x:v>
      </x:c>
      <x:c r="D77" s="20" t="str">
        <x:v>Frameworks / memory / OSS</x:v>
      </x:c>
      <x:c r="E77" s="20" t="str">
        <x:v>David Montague</x:v>
      </x:c>
      <x:c r="F77" s="20" t="str">
        <x:v>Pydantic</x:v>
      </x:c>
      <x:c r="G77" s="20" t="str">
        <x:v>Engineer; Pydantic Evals author</x:v>
      </x:c>
      <x:c r="H77" s="20" t="str">
        <x:v>agent evaluations, online evals, observability</x:v>
      </x:c>
      <x:c r="I77" s="20" t="str">
        <x:v>Yes</x:v>
      </x:c>
      <x:c r="J77" s="20" t="str">
        <x:v>PydanticAI/evals PRs, technical posts</x:v>
      </x:c>
      <x:c r="K77" s="32" t="str"/>
      <x:c r="L77" s="20" t="str">
        <x:v>Not resolved</x:v>
      </x:c>
      <x:c r="M77" s="20" t="str">
        <x:v>On PR/release</x:v>
      </x:c>
      <x:c r="N77" s="20" t="str">
        <x:v>High</x:v>
      </x:c>
      <x:c r="O77" s="30" t="str">
        <x:v>2026-07-13</x:v>
      </x:c>
      <x:c r="P77" s="20" t="str">
        <x:v>Direct source for systematic agent evaluation and measurement infrastructure.</x:v>
      </x:c>
      <x:c r="Q77" s="32" t="str">
        <x:v>https://github.com/dmontagu</x:v>
      </x:c>
      <x:c r="R77" s="32" t="str">
        <x:v>https://github.com/pydantic/pydantic-ai</x:v>
      </x:c>
      <x:c r="S77" s="26" t="n">
        <x:v>5</x:v>
      </x:c>
      <x:c r="T77" s="26" t="n">
        <x:v>5</x:v>
      </x:c>
      <x:c r="U77" s="26" t="n">
        <x:v>5</x:v>
      </x:c>
      <x:c r="V77" s="26" t="n">
        <x:v>5</x:v>
      </x:c>
      <x:c r="W77" s="26" t="n">
        <x:v>5</x:v>
      </x:c>
    </x:row>
    <x:row r="78" ht="50" customHeight="1">
      <x:c r="A78" s="26" t="n">
        <x:v>77</x:v>
      </x:c>
      <x:c r="B78" s="28" t="n">
        <x:f>ROUND((S78*Scoring_Model!$B$4+T78*Scoring_Model!$B$5+U78*Scoring_Model!$B$6+V78*Scoring_Model!$B$7+W78*Scoring_Model!$B$8)/Scoring_Model!$B$9*Scoring_Model!$B$10,1)</x:f>
        <x:v>100</x:v>
      </x:c>
      <x:c r="C78" s="20" t="str">
        <x:f>IF(B78&gt;=Scoring_Model!$B$11,"T1",IF(B78&gt;=Scoring_Model!$B$12,"T2","T3"))</x:f>
        <x:v>T1</x:v>
      </x:c>
      <x:c r="D78" s="20" t="str">
        <x:v>Frameworks / memory / OSS</x:v>
      </x:c>
      <x:c r="E78" s="20" t="str">
        <x:v>Marcelo Trylesinski</x:v>
      </x:c>
      <x:c r="F78" s="20" t="str">
        <x:v>Pydantic</x:v>
      </x:c>
      <x:c r="G78" s="20" t="str">
        <x:v>Engineer and maintainer</x:v>
      </x:c>
      <x:c r="H78" s="20" t="str">
        <x:v>PydanticAI, MCP Python SDK, serving stack</x:v>
      </x:c>
      <x:c r="I78" s="20" t="str">
        <x:v>Yes</x:v>
      </x:c>
      <x:c r="J78" s="20" t="str">
        <x:v>GitHub PRs/issues across PydanticAI/MCP</x:v>
      </x:c>
      <x:c r="K78" s="32" t="str">
        <x:v>@Kludex</x:v>
      </x:c>
      <x:c r="L78" s="20" t="str">
        <x:v>High-confidence handle</x:v>
      </x:c>
      <x:c r="M78" s="20" t="str">
        <x:v>On PR/release</x:v>
      </x:c>
      <x:c r="N78" s="20" t="str">
        <x:v>High</x:v>
      </x:c>
      <x:c r="O78" s="30" t="str">
        <x:v>2026-07-13</x:v>
      </x:c>
      <x:c r="P78" s="20" t="str">
        <x:v>Cross-layer maintenance signal spanning agents, MCP, and Python serving infrastructure.</x:v>
      </x:c>
      <x:c r="Q78" s="32" t="str">
        <x:v>https://github.com/Kludex</x:v>
      </x:c>
      <x:c r="R78" s="32" t="str">
        <x:v>https://github.com/pydantic/pydantic-ai</x:v>
      </x:c>
      <x:c r="S78" s="26" t="n">
        <x:v>5</x:v>
      </x:c>
      <x:c r="T78" s="26" t="n">
        <x:v>5</x:v>
      </x:c>
      <x:c r="U78" s="26" t="n">
        <x:v>5</x:v>
      </x:c>
      <x:c r="V78" s="26" t="n">
        <x:v>5</x:v>
      </x:c>
      <x:c r="W78" s="26" t="n">
        <x:v>5</x:v>
      </x:c>
    </x:row>
    <x:row r="79" ht="50" customHeight="1">
      <x:c r="A79" s="26" t="n">
        <x:v>78</x:v>
      </x:c>
      <x:c r="B79" s="28" t="n">
        <x:f>ROUND((S79*Scoring_Model!$B$4+T79*Scoring_Model!$B$5+U79*Scoring_Model!$B$6+V79*Scoring_Model!$B$7+W79*Scoring_Model!$B$8)/Scoring_Model!$B$9*Scoring_Model!$B$10,1)</x:f>
        <x:v>100</x:v>
      </x:c>
      <x:c r="C79" s="20" t="str">
        <x:f>IF(B79&gt;=Scoring_Model!$B$11,"T1",IF(B79&gt;=Scoring_Model!$B$12,"T2","T3"))</x:f>
        <x:v>T1</x:v>
      </x:c>
      <x:c r="D79" s="20" t="str">
        <x:v>Frameworks / memory / OSS</x:v>
      </x:c>
      <x:c r="E79" s="20" t="str">
        <x:v>Omar Khattab</x:v>
      </x:c>
      <x:c r="F79" s="20" t="str">
        <x:v>MIT / DSPy</x:v>
      </x:c>
      <x:c r="G79" s="20" t="str">
        <x:v>DSPy creator; professor</x:v>
      </x:c>
      <x:c r="H79" s="20" t="str">
        <x:v>declarative LM systems, optimization, retrieval, agents</x:v>
      </x:c>
      <x:c r="I79" s="20" t="str">
        <x:v>Yes</x:v>
      </x:c>
      <x:c r="J79" s="20" t="str">
        <x:v>DSPy roadmap/releases, papers, X</x:v>
      </x:c>
      <x:c r="K79" s="32" t="str">
        <x:v>@lateinteraction</x:v>
      </x:c>
      <x:c r="L79" s="20" t="str">
        <x:v>Verified</x:v>
      </x:c>
      <x:c r="M79" s="20" t="str">
        <x:v>Weekly</x:v>
      </x:c>
      <x:c r="N79" s="20" t="str">
        <x:v>High</x:v>
      </x:c>
      <x:c r="O79" s="30" t="str">
        <x:v>2026-07-13</x:v>
      </x:c>
      <x:c r="P79" s="20" t="str">
        <x:v>High-signal research and implementation on optimizing modular LM/agent programs.</x:v>
      </x:c>
      <x:c r="Q79" s="32" t="str">
        <x:v>https://omarkhattab.com/</x:v>
      </x:c>
      <x:c r="R79" s="32" t="str">
        <x:v>https://dspy.ai/</x:v>
      </x:c>
      <x:c r="S79" s="26" t="n">
        <x:v>5</x:v>
      </x:c>
      <x:c r="T79" s="26" t="n">
        <x:v>5</x:v>
      </x:c>
      <x:c r="U79" s="26" t="n">
        <x:v>5</x:v>
      </x:c>
      <x:c r="V79" s="26" t="n">
        <x:v>5</x:v>
      </x:c>
      <x:c r="W79" s="26" t="n">
        <x:v>5</x:v>
      </x:c>
    </x:row>
    <x:row r="80" ht="50" customHeight="1">
      <x:c r="A80" s="26" t="n">
        <x:v>79</x:v>
      </x:c>
      <x:c r="B80" s="28" t="n">
        <x:f>ROUND((S80*Scoring_Model!$B$4+T80*Scoring_Model!$B$5+U80*Scoring_Model!$B$6+V80*Scoring_Model!$B$7+W80*Scoring_Model!$B$8)/Scoring_Model!$B$9*Scoring_Model!$B$10,1)</x:f>
        <x:v>96</x:v>
      </x:c>
      <x:c r="C80" s="20" t="str">
        <x:f>IF(B80&gt;=Scoring_Model!$B$11,"T1",IF(B80&gt;=Scoring_Model!$B$12,"T2","T3"))</x:f>
        <x:v>T2</x:v>
      </x:c>
      <x:c r="D80" s="20" t="str">
        <x:v>Frameworks / memory / OSS</x:v>
      </x:c>
      <x:c r="E80" s="20" t="str">
        <x:v>Isaac Miller</x:v>
      </x:c>
      <x:c r="F80" s="20" t="str">
        <x:v>DSPy</x:v>
      </x:c>
      <x:c r="G80" s="20" t="str">
        <x:v>Core roadmap contributor</x:v>
      </x:c>
      <x:c r="H80" s="20" t="str">
        <x:v>LM program optimization, teaching, observability</x:v>
      </x:c>
      <x:c r="I80" s="20" t="str">
        <x:v>Yes</x:v>
      </x:c>
      <x:c r="J80" s="20" t="str">
        <x:v>DSPy PRs, roadmap, discussions</x:v>
      </x:c>
      <x:c r="K80" s="32" t="str"/>
      <x:c r="L80" s="20" t="str">
        <x:v>Not resolved</x:v>
      </x:c>
      <x:c r="M80" s="20" t="str">
        <x:v>On PR/release</x:v>
      </x:c>
      <x:c r="N80" s="20" t="str">
        <x:v>High</x:v>
      </x:c>
      <x:c r="O80" s="30" t="str">
        <x:v>2026-07-13</x:v>
      </x:c>
      <x:c r="P80" s="20" t="str">
        <x:v>Named lead on DSPy's workflow and education roadmap; useful for practical optimization patterns.</x:v>
      </x:c>
      <x:c r="Q80" s="32" t="str">
        <x:v>https://dspy.ai/roadmap/</x:v>
      </x:c>
      <x:c r="R80" s="32" t="str">
        <x:v>https://github.com/stanfordnlp/dspy</x:v>
      </x:c>
      <x:c r="S80" s="26" t="n">
        <x:v>5</x:v>
      </x:c>
      <x:c r="T80" s="26" t="n">
        <x:v>5</x:v>
      </x:c>
      <x:c r="U80" s="26" t="n">
        <x:v>4</x:v>
      </x:c>
      <x:c r="V80" s="26" t="n">
        <x:v>5</x:v>
      </x:c>
      <x:c r="W80" s="26" t="n">
        <x:v>5</x:v>
      </x:c>
    </x:row>
    <x:row r="81" ht="50" customHeight="1">
      <x:c r="A81" s="26" t="n">
        <x:v>80</x:v>
      </x:c>
      <x:c r="B81" s="28" t="n">
        <x:f>ROUND((S81*Scoring_Model!$B$4+T81*Scoring_Model!$B$5+U81*Scoring_Model!$B$6+V81*Scoring_Model!$B$7+W81*Scoring_Model!$B$8)/Scoring_Model!$B$9*Scoring_Model!$B$10,1)</x:f>
        <x:v>96</x:v>
      </x:c>
      <x:c r="C81" s="20" t="str">
        <x:f>IF(B81&gt;=Scoring_Model!$B$11,"T1",IF(B81&gt;=Scoring_Model!$B$12,"T2","T3"))</x:f>
        <x:v>T2</x:v>
      </x:c>
      <x:c r="D81" s="20" t="str">
        <x:v>Frameworks / memory / OSS</x:v>
      </x:c>
      <x:c r="E81" s="20" t="str">
        <x:v>Herumb Shandilya</x:v>
      </x:c>
      <x:c r="F81" s="20" t="str">
        <x:v>DSPy</x:v>
      </x:c>
      <x:c r="G81" s="20" t="str">
        <x:v>Core roadmap contributor</x:v>
      </x:c>
      <x:c r="H81" s="20" t="str">
        <x:v>LM program optimization, data/eval workflow</x:v>
      </x:c>
      <x:c r="I81" s="20" t="str">
        <x:v>Yes</x:v>
      </x:c>
      <x:c r="J81" s="20" t="str">
        <x:v>DSPy PRs, roadmap, discussions</x:v>
      </x:c>
      <x:c r="K81" s="32" t="str"/>
      <x:c r="L81" s="20" t="str">
        <x:v>Not resolved</x:v>
      </x:c>
      <x:c r="M81" s="20" t="str">
        <x:v>On PR/release</x:v>
      </x:c>
      <x:c r="N81" s="20" t="str">
        <x:v>High</x:v>
      </x:c>
      <x:c r="O81" s="30" t="str">
        <x:v>2026-07-13</x:v>
      </x:c>
      <x:c r="P81" s="20" t="str">
        <x:v>Named lead on evolving DSPy's end-to-end LM systems workflow.</x:v>
      </x:c>
      <x:c r="Q81" s="32" t="str">
        <x:v>https://dspy.ai/roadmap/</x:v>
      </x:c>
      <x:c r="R81" s="32" t="str">
        <x:v>https://github.com/stanfordnlp/dspy</x:v>
      </x:c>
      <x:c r="S81" s="26" t="n">
        <x:v>5</x:v>
      </x:c>
      <x:c r="T81" s="26" t="n">
        <x:v>5</x:v>
      </x:c>
      <x:c r="U81" s="26" t="n">
        <x:v>4</x:v>
      </x:c>
      <x:c r="V81" s="26" t="n">
        <x:v>5</x:v>
      </x:c>
      <x:c r="W81" s="26" t="n">
        <x:v>5</x:v>
      </x:c>
    </x:row>
    <x:row r="82" ht="50" customHeight="1">
      <x:c r="A82" s="26" t="n">
        <x:v>81</x:v>
      </x:c>
      <x:c r="B82" s="28" t="n">
        <x:f>ROUND((S82*Scoring_Model!$B$4+T82*Scoring_Model!$B$5+U82*Scoring_Model!$B$6+V82*Scoring_Model!$B$7+W82*Scoring_Model!$B$8)/Scoring_Model!$B$9*Scoring_Model!$B$10,1)</x:f>
        <x:v>100</x:v>
      </x:c>
      <x:c r="C82" s="20" t="str">
        <x:f>IF(B82&gt;=Scoring_Model!$B$11,"T1",IF(B82&gt;=Scoring_Model!$B$12,"T2","T3"))</x:f>
        <x:v>T1</x:v>
      </x:c>
      <x:c r="D82" s="20" t="str">
        <x:v>Frameworks / memory / OSS</x:v>
      </x:c>
      <x:c r="E82" s="20" t="str">
        <x:v>Xingyao Wang</x:v>
      </x:c>
      <x:c r="F82" s="20" t="str">
        <x:v>OpenHands</x:v>
      </x:c>
      <x:c r="G82" s="20" t="str">
        <x:v>Founder/lead researcher</x:v>
      </x:c>
      <x:c r="H82" s="20" t="str">
        <x:v>coding agents, software-agent benchmarks, runtime</x:v>
      </x:c>
      <x:c r="I82" s="20" t="str">
        <x:v>Yes</x:v>
      </x:c>
      <x:c r="J82" s="20" t="str">
        <x:v>OpenHands PRs/releases, papers, X</x:v>
      </x:c>
      <x:c r="K82" s="32" t="str">
        <x:v>@xingyaow_</x:v>
      </x:c>
      <x:c r="L82" s="20" t="str">
        <x:v>High-confidence handle</x:v>
      </x:c>
      <x:c r="M82" s="20" t="str">
        <x:v>Daily</x:v>
      </x:c>
      <x:c r="N82" s="20" t="str">
        <x:v>High</x:v>
      </x:c>
      <x:c r="O82" s="30" t="str">
        <x:v>2026-07-13</x:v>
      </x:c>
      <x:c r="P82" s="20" t="str">
        <x:v>Direct signal on open-source coding-agent architecture and evaluation.</x:v>
      </x:c>
      <x:c r="Q82" s="32" t="str">
        <x:v>https://xwang.dev/</x:v>
      </x:c>
      <x:c r="R82" s="32" t="str">
        <x:v>https://github.com/All-Hands-AI/OpenHands</x:v>
      </x:c>
      <x:c r="S82" s="26" t="n">
        <x:v>5</x:v>
      </x:c>
      <x:c r="T82" s="26" t="n">
        <x:v>5</x:v>
      </x:c>
      <x:c r="U82" s="26" t="n">
        <x:v>5</x:v>
      </x:c>
      <x:c r="V82" s="26" t="n">
        <x:v>5</x:v>
      </x:c>
      <x:c r="W82" s="26" t="n">
        <x:v>5</x:v>
      </x:c>
    </x:row>
    <x:row r="83" ht="50" customHeight="1">
      <x:c r="A83" s="26" t="n">
        <x:v>82</x:v>
      </x:c>
      <x:c r="B83" s="28" t="n">
        <x:f>ROUND((S83*Scoring_Model!$B$4+T83*Scoring_Model!$B$5+U83*Scoring_Model!$B$6+V83*Scoring_Model!$B$7+W83*Scoring_Model!$B$8)/Scoring_Model!$B$9*Scoring_Model!$B$10,1)</x:f>
        <x:v>92</x:v>
      </x:c>
      <x:c r="C83" s="20" t="str">
        <x:f>IF(B83&gt;=Scoring_Model!$B$11,"T1",IF(B83&gt;=Scoring_Model!$B$12,"T2","T3"))</x:f>
        <x:v>T2</x:v>
      </x:c>
      <x:c r="D83" s="20" t="str">
        <x:v>Frameworks / memory / OSS</x:v>
      </x:c>
      <x:c r="E83" s="20" t="str">
        <x:v>Graham Neubig</x:v>
      </x:c>
      <x:c r="F83" s="20" t="str">
        <x:v>Carnegie Mellon / OpenHands</x:v>
      </x:c>
      <x:c r="G83" s="20" t="str">
        <x:v>Professor; OpenHands co-lead</x:v>
      </x:c>
      <x:c r="H83" s="20" t="str">
        <x:v>coding agents, NLP, evaluation</x:v>
      </x:c>
      <x:c r="I83" s="20" t="str">
        <x:v>Yes</x:v>
      </x:c>
      <x:c r="J83" s="20" t="str">
        <x:v>Papers, OpenHands releases, X</x:v>
      </x:c>
      <x:c r="K83" s="32" t="str">
        <x:v>@gneubig</x:v>
      </x:c>
      <x:c r="L83" s="20" t="str">
        <x:v>Verified</x:v>
      </x:c>
      <x:c r="M83" s="20" t="str">
        <x:v>Weekly</x:v>
      </x:c>
      <x:c r="N83" s="20" t="str">
        <x:v>High</x:v>
      </x:c>
      <x:c r="O83" s="30" t="str">
        <x:v>2026-07-13</x:v>
      </x:c>
      <x:c r="P83" s="20" t="str">
        <x:v>Research and benchmark perspective behind OpenHands.</x:v>
      </x:c>
      <x:c r="Q83" s="32" t="str">
        <x:v>https://www.phontron.com/</x:v>
      </x:c>
      <x:c r="R83" s="32" t="str">
        <x:v>https://github.com/All-Hands-AI/OpenHands</x:v>
      </x:c>
      <x:c r="S83" s="26" t="n">
        <x:v>5</x:v>
      </x:c>
      <x:c r="T83" s="26" t="n">
        <x:v>5</x:v>
      </x:c>
      <x:c r="U83" s="26" t="n">
        <x:v>4</x:v>
      </x:c>
      <x:c r="V83" s="26" t="n">
        <x:v>4</x:v>
      </x:c>
      <x:c r="W83" s="26" t="n">
        <x:v>5</x:v>
      </x:c>
    </x:row>
    <x:row r="84" ht="50" customHeight="1">
      <x:c r="A84" s="26" t="n">
        <x:v>83</x:v>
      </x:c>
      <x:c r="B84" s="28" t="n">
        <x:f>ROUND((S84*Scoring_Model!$B$4+T84*Scoring_Model!$B$5+U84*Scoring_Model!$B$6+V84*Scoring_Model!$B$7+W84*Scoring_Model!$B$8)/Scoring_Model!$B$9*Scoring_Model!$B$10,1)</x:f>
        <x:v>100</x:v>
      </x:c>
      <x:c r="C84" s="20" t="str">
        <x:f>IF(B84&gt;=Scoring_Model!$B$11,"T1",IF(B84&gt;=Scoring_Model!$B$12,"T2","T3"))</x:f>
        <x:v>T1</x:v>
      </x:c>
      <x:c r="D84" s="20" t="str">
        <x:v>Frameworks / memory / OSS</x:v>
      </x:c>
      <x:c r="E84" s="20" t="str">
        <x:v>Robert Brennan</x:v>
      </x:c>
      <x:c r="F84" s="20" t="str">
        <x:v>OpenHands</x:v>
      </x:c>
      <x:c r="G84" s="20" t="str">
        <x:v>Technical contributor/leadership</x:v>
      </x:c>
      <x:c r="H84" s="20" t="str">
        <x:v>coding-agent productization and runtime</x:v>
      </x:c>
      <x:c r="I84" s="20" t="str">
        <x:v>Yes</x:v>
      </x:c>
      <x:c r="J84" s="20" t="str">
        <x:v>OpenHands GitHub, release notes, talks</x:v>
      </x:c>
      <x:c r="K84" s="32" t="str"/>
      <x:c r="L84" s="20" t="str">
        <x:v>Not resolved</x:v>
      </x:c>
      <x:c r="M84" s="20" t="str">
        <x:v>On release/PR</x:v>
      </x:c>
      <x:c r="N84" s="20" t="str">
        <x:v>Medium</x:v>
      </x:c>
      <x:c r="O84" s="30" t="str">
        <x:v>2026-07-13</x:v>
      </x:c>
      <x:c r="P84" s="20" t="str">
        <x:v>Useful implementation and product signal from the OpenHands ecosystem.</x:v>
      </x:c>
      <x:c r="Q84" s="32" t="str">
        <x:v>https://github.com/All-Hands-AI/OpenHands</x:v>
      </x:c>
      <x:c r="R84" s="32" t="str">
        <x:v>https://www.all-hands.dev/</x:v>
      </x:c>
      <x:c r="S84" s="26" t="n">
        <x:v>5</x:v>
      </x:c>
      <x:c r="T84" s="26" t="n">
        <x:v>5</x:v>
      </x:c>
      <x:c r="U84" s="26" t="n">
        <x:v>5</x:v>
      </x:c>
      <x:c r="V84" s="26" t="n">
        <x:v>5</x:v>
      </x:c>
      <x:c r="W84" s="26" t="n">
        <x:v>5</x:v>
      </x:c>
    </x:row>
    <x:row r="85" ht="50" customHeight="1">
      <x:c r="A85" s="26" t="n">
        <x:v>84</x:v>
      </x:c>
      <x:c r="B85" s="28" t="n">
        <x:f>ROUND((S85*Scoring_Model!$B$4+T85*Scoring_Model!$B$5+U85*Scoring_Model!$B$6+V85*Scoring_Model!$B$7+W85*Scoring_Model!$B$8)/Scoring_Model!$B$9*Scoring_Model!$B$10,1)</x:f>
        <x:v>100</x:v>
      </x:c>
      <x:c r="C85" s="20" t="str">
        <x:f>IF(B85&gt;=Scoring_Model!$B$11,"T1",IF(B85&gt;=Scoring_Model!$B$12,"T2","T3"))</x:f>
        <x:v>T1</x:v>
      </x:c>
      <x:c r="D85" s="20" t="str">
        <x:v>Frameworks / memory / OSS</x:v>
      </x:c>
      <x:c r="E85" s="20" t="str">
        <x:v>Teknium</x:v>
      </x:c>
      <x:c r="F85" s="20" t="str">
        <x:v>Nous Research / Hermes Agent</x:v>
      </x:c>
      <x:c r="G85" s="20" t="str">
        <x:v>Hermes creator/maintainer identity</x:v>
      </x:c>
      <x:c r="H85" s="20" t="str">
        <x:v>local agents, tool use, self-improvement, open models</x:v>
      </x:c>
      <x:c r="I85" s="20" t="str">
        <x:v>Yes</x:v>
      </x:c>
      <x:c r="J85" s="20" t="str">
        <x:v>Hermes Agent releases, GitHub, X</x:v>
      </x:c>
      <x:c r="K85" s="32" t="str">
        <x:v>@Teknium1</x:v>
      </x:c>
      <x:c r="L85" s="20" t="str">
        <x:v>Verified</x:v>
      </x:c>
      <x:c r="M85" s="20" t="str">
        <x:v>Daily</x:v>
      </x:c>
      <x:c r="N85" s="20" t="str">
        <x:v>High</x:v>
      </x:c>
      <x:c r="O85" s="30" t="str">
        <x:v>2026-07-13</x:v>
      </x:c>
      <x:c r="P85" s="20" t="str">
        <x:v>Direct source for Hermes Agent releases and open-model agent experimentation.</x:v>
      </x:c>
      <x:c r="Q85" s="32" t="str">
        <x:v>https://github.com/NousResearch/hermes-agent</x:v>
      </x:c>
      <x:c r="R85" s="32" t="str">
        <x:v>https://nousresearch.com/</x:v>
      </x:c>
      <x:c r="S85" s="26" t="n">
        <x:v>5</x:v>
      </x:c>
      <x:c r="T85" s="26" t="n">
        <x:v>5</x:v>
      </x:c>
      <x:c r="U85" s="26" t="n">
        <x:v>5</x:v>
      </x:c>
      <x:c r="V85" s="26" t="n">
        <x:v>5</x:v>
      </x:c>
      <x:c r="W85" s="26" t="n">
        <x:v>5</x:v>
      </x:c>
    </x:row>
    <x:row r="86" ht="50" customHeight="1">
      <x:c r="A86" s="26" t="n">
        <x:v>85</x:v>
      </x:c>
      <x:c r="B86" s="28" t="n">
        <x:f>ROUND((S86*Scoring_Model!$B$4+T86*Scoring_Model!$B$5+U86*Scoring_Model!$B$6+V86*Scoring_Model!$B$7+W86*Scoring_Model!$B$8)/Scoring_Model!$B$9*Scoring_Model!$B$10,1)</x:f>
        <x:v>100</x:v>
      </x:c>
      <x:c r="C86" s="20" t="str">
        <x:f>IF(B86&gt;=Scoring_Model!$B$11,"T1",IF(B86&gt;=Scoring_Model!$B$12,"T2","T3"))</x:f>
        <x:v>T1</x:v>
      </x:c>
      <x:c r="D86" s="20" t="str">
        <x:v>Frameworks / memory / OSS</x:v>
      </x:c>
      <x:c r="E86" s="20" t="str">
        <x:v>Vincent Koc</x:v>
      </x:c>
      <x:c r="F86" s="20" t="str">
        <x:v>OpenClaw</x:v>
      </x:c>
      <x:c r="G86" s="20" t="str">
        <x:v>Core contributor</x:v>
      </x:c>
      <x:c r="H86" s="20" t="str">
        <x:v>local agents, integrations, release engineering</x:v>
      </x:c>
      <x:c r="I86" s="20" t="str">
        <x:v>Yes</x:v>
      </x:c>
      <x:c r="J86" s="20" t="str">
        <x:v>OpenClaw releases/PRs/issues, X</x:v>
      </x:c>
      <x:c r="K86" s="32" t="str"/>
      <x:c r="L86" s="20" t="str">
        <x:v>Not resolved</x:v>
      </x:c>
      <x:c r="M86" s="20" t="str">
        <x:v>On PR/release</x:v>
      </x:c>
      <x:c r="N86" s="20" t="str">
        <x:v>Medium</x:v>
      </x:c>
      <x:c r="O86" s="30" t="str">
        <x:v>2026-07-13</x:v>
      </x:c>
      <x:c r="P86" s="20" t="str">
        <x:v>Behind-the-scenes contributor signal from the OpenClaw release stream.</x:v>
      </x:c>
      <x:c r="Q86" s="32" t="str">
        <x:v>https://github.com/openclaw/openclaw</x:v>
      </x:c>
      <x:c r="R86" s="32" t="str">
        <x:v>https://github.com/openclaw</x:v>
      </x:c>
      <x:c r="S86" s="26" t="n">
        <x:v>5</x:v>
      </x:c>
      <x:c r="T86" s="26" t="n">
        <x:v>5</x:v>
      </x:c>
      <x:c r="U86" s="26" t="n">
        <x:v>5</x:v>
      </x:c>
      <x:c r="V86" s="26" t="n">
        <x:v>5</x:v>
      </x:c>
      <x:c r="W86" s="26" t="n">
        <x:v>5</x:v>
      </x:c>
    </x:row>
    <x:row r="87" ht="50" customHeight="1">
      <x:c r="A87" s="26" t="n">
        <x:v>86</x:v>
      </x:c>
      <x:c r="B87" s="28" t="n">
        <x:f>ROUND((S87*Scoring_Model!$B$4+T87*Scoring_Model!$B$5+U87*Scoring_Model!$B$6+V87*Scoring_Model!$B$7+W87*Scoring_Model!$B$8)/Scoring_Model!$B$9*Scoring_Model!$B$10,1)</x:f>
        <x:v>83</x:v>
      </x:c>
      <x:c r="C87" s="20" t="str">
        <x:f>IF(B87&gt;=Scoring_Model!$B$11,"T1",IF(B87&gt;=Scoring_Model!$B$12,"T2","T3"))</x:f>
        <x:v>T3</x:v>
      </x:c>
      <x:c r="D87" s="20" t="str">
        <x:v>Frameworks / memory / OSS</x:v>
      </x:c>
      <x:c r="E87" s="20" t="str">
        <x:v>Michele Catasta</x:v>
      </x:c>
      <x:c r="F87" s="20" t="str">
        <x:v>Replit</x:v>
      </x:c>
      <x:c r="G87" s="20" t="str">
        <x:v>AI/product leadership and technical operator</x:v>
      </x:c>
      <x:c r="H87" s="20" t="str">
        <x:v>coding agents, cloud development environments, deployment</x:v>
      </x:c>
      <x:c r="I87" s="20" t="str">
        <x:v>Mixed</x:v>
      </x:c>
      <x:c r="J87" s="20" t="str">
        <x:v>Replit engineering/product releases, X</x:v>
      </x:c>
      <x:c r="K87" s="32" t="str">
        <x:v>@michelecatasta</x:v>
      </x:c>
      <x:c r="L87" s="20" t="str">
        <x:v>High-confidence handle</x:v>
      </x:c>
      <x:c r="M87" s="20" t="str">
        <x:v>Weekly</x:v>
      </x:c>
      <x:c r="N87" s="20" t="str">
        <x:v>High</x:v>
      </x:c>
      <x:c r="O87" s="30" t="str">
        <x:v>2026-07-13</x:v>
      </x:c>
      <x:c r="P87" s="20" t="str">
        <x:v>Connects agentic coding with executable cloud workspaces and deployment.</x:v>
      </x:c>
      <x:c r="Q87" s="32" t="str">
        <x:v>https://replit.com/about</x:v>
      </x:c>
      <x:c r="R87" s="32" t="str">
        <x:v>https://blog.replit.com/</x:v>
      </x:c>
      <x:c r="S87" s="26" t="n">
        <x:v>5</x:v>
      </x:c>
      <x:c r="T87" s="26" t="n">
        <x:v>4</x:v>
      </x:c>
      <x:c r="U87" s="26" t="n">
        <x:v>4</x:v>
      </x:c>
      <x:c r="V87" s="26" t="n">
        <x:v>3</x:v>
      </x:c>
      <x:c r="W87" s="26" t="n">
        <x:v>5</x:v>
      </x:c>
    </x:row>
    <x:row r="88" ht="50" customHeight="1">
      <x:c r="A88" s="26" t="n">
        <x:v>87</x:v>
      </x:c>
      <x:c r="B88" s="28" t="n">
        <x:f>ROUND((S88*Scoring_Model!$B$4+T88*Scoring_Model!$B$5+U88*Scoring_Model!$B$6+V88*Scoring_Model!$B$7+W88*Scoring_Model!$B$8)/Scoring_Model!$B$9*Scoring_Model!$B$10,1)</x:f>
        <x:v>83</x:v>
      </x:c>
      <x:c r="C88" s="20" t="str">
        <x:f>IF(B88&gt;=Scoring_Model!$B$11,"T1",IF(B88&gt;=Scoring_Model!$B$12,"T2","T3"))</x:f>
        <x:v>T3</x:v>
      </x:c>
      <x:c r="D88" s="20" t="str">
        <x:v>Coding-agent companies</x:v>
      </x:c>
      <x:c r="E88" s="20" t="str">
        <x:v>Michael Truell</x:v>
      </x:c>
      <x:c r="F88" s="20" t="str">
        <x:v>Cursor / Anysphere</x:v>
      </x:c>
      <x:c r="G88" s="20" t="str">
        <x:v>Co-founder and CEO; technical founder</x:v>
      </x:c>
      <x:c r="H88" s="20" t="str">
        <x:v>AI IDEs, coding-agent product architecture</x:v>
      </x:c>
      <x:c r="I88" s="20" t="str">
        <x:v>Mixed</x:v>
      </x:c>
      <x:c r="J88" s="20" t="str">
        <x:v>Cursor changelog, engineering posts, X</x:v>
      </x:c>
      <x:c r="K88" s="32" t="str">
        <x:v>@michaeltruell</x:v>
      </x:c>
      <x:c r="L88" s="20" t="str">
        <x:v>High-confidence handle</x:v>
      </x:c>
      <x:c r="M88" s="20" t="str">
        <x:v>Daily</x:v>
      </x:c>
      <x:c r="N88" s="20" t="str">
        <x:v>High</x:v>
      </x:c>
      <x:c r="O88" s="30" t="str">
        <x:v>2026-07-13</x:v>
      </x:c>
      <x:c r="P88" s="20" t="str">
        <x:v>High-leverage signal on how agentic coding workflows are productized.</x:v>
      </x:c>
      <x:c r="Q88" s="32" t="str">
        <x:v>https://www.accel.com/companies/cursor</x:v>
      </x:c>
      <x:c r="R88" s="32" t="str">
        <x:v>https://www.cursor.com/changelog</x:v>
      </x:c>
      <x:c r="S88" s="26" t="n">
        <x:v>5</x:v>
      </x:c>
      <x:c r="T88" s="26" t="n">
        <x:v>4</x:v>
      </x:c>
      <x:c r="U88" s="26" t="n">
        <x:v>4</x:v>
      </x:c>
      <x:c r="V88" s="26" t="n">
        <x:v>3</x:v>
      </x:c>
      <x:c r="W88" s="26" t="n">
        <x:v>5</x:v>
      </x:c>
    </x:row>
    <x:row r="89" ht="50" customHeight="1">
      <x:c r="A89" s="26" t="n">
        <x:v>88</x:v>
      </x:c>
      <x:c r="B89" s="28" t="n">
        <x:f>ROUND((S89*Scoring_Model!$B$4+T89*Scoring_Model!$B$5+U89*Scoring_Model!$B$6+V89*Scoring_Model!$B$7+W89*Scoring_Model!$B$8)/Scoring_Model!$B$9*Scoring_Model!$B$10,1)</x:f>
        <x:v>87</x:v>
      </x:c>
      <x:c r="C89" s="20" t="str">
        <x:f>IF(B89&gt;=Scoring_Model!$B$11,"T1",IF(B89&gt;=Scoring_Model!$B$12,"T2","T3"))</x:f>
        <x:v>T3</x:v>
      </x:c>
      <x:c r="D89" s="20" t="str">
        <x:v>Coding-agent companies</x:v>
      </x:c>
      <x:c r="E89" s="20" t="str">
        <x:v>Aman Sanger</x:v>
      </x:c>
      <x:c r="F89" s="20" t="str">
        <x:v>Cursor / Anysphere</x:v>
      </x:c>
      <x:c r="G89" s="20" t="str">
        <x:v>Co-founder; technical builder</x:v>
      </x:c>
      <x:c r="H89" s="20" t="str">
        <x:v>AI IDE infrastructure, coding agents</x:v>
      </x:c>
      <x:c r="I89" s="20" t="str">
        <x:v>Yes</x:v>
      </x:c>
      <x:c r="J89" s="20" t="str">
        <x:v>Cursor engineering/release notes, X</x:v>
      </x:c>
      <x:c r="K89" s="32" t="str"/>
      <x:c r="L89" s="20" t="str">
        <x:v>Not resolved</x:v>
      </x:c>
      <x:c r="M89" s="20" t="str">
        <x:v>Weekly</x:v>
      </x:c>
      <x:c r="N89" s="20" t="str">
        <x:v>High</x:v>
      </x:c>
      <x:c r="O89" s="30" t="str">
        <x:v>2026-07-13</x:v>
      </x:c>
      <x:c r="P89" s="20" t="str">
        <x:v>Behind-the-scenes co-founder signal on Cursor's technical architecture.</x:v>
      </x:c>
      <x:c r="Q89" s="32" t="str">
        <x:v>https://www.accel.com/companies/cursor</x:v>
      </x:c>
      <x:c r="R89" s="32" t="str">
        <x:v>https://www.cursor.com/changelog</x:v>
      </x:c>
      <x:c r="S89" s="26" t="n">
        <x:v>5</x:v>
      </x:c>
      <x:c r="T89" s="26" t="n">
        <x:v>4</x:v>
      </x:c>
      <x:c r="U89" s="26" t="n">
        <x:v>4</x:v>
      </x:c>
      <x:c r="V89" s="26" t="n">
        <x:v>4</x:v>
      </x:c>
      <x:c r="W89" s="26" t="n">
        <x:v>5</x:v>
      </x:c>
    </x:row>
    <x:row r="90" ht="50" customHeight="1">
      <x:c r="A90" s="26" t="n">
        <x:v>89</x:v>
      </x:c>
      <x:c r="B90" s="28" t="n">
        <x:f>ROUND((S90*Scoring_Model!$B$4+T90*Scoring_Model!$B$5+U90*Scoring_Model!$B$6+V90*Scoring_Model!$B$7+W90*Scoring_Model!$B$8)/Scoring_Model!$B$9*Scoring_Model!$B$10,1)</x:f>
        <x:v>87</x:v>
      </x:c>
      <x:c r="C90" s="20" t="str">
        <x:f>IF(B90&gt;=Scoring_Model!$B$11,"T1",IF(B90&gt;=Scoring_Model!$B$12,"T2","T3"))</x:f>
        <x:v>T3</x:v>
      </x:c>
      <x:c r="D90" s="20" t="str">
        <x:v>Coding-agent companies</x:v>
      </x:c>
      <x:c r="E90" s="20" t="str">
        <x:v>Sualeh Asif</x:v>
      </x:c>
      <x:c r="F90" s="20" t="str">
        <x:v>Cursor / Anysphere</x:v>
      </x:c>
      <x:c r="G90" s="20" t="str">
        <x:v>Co-founder; technical builder</x:v>
      </x:c>
      <x:c r="H90" s="20" t="str">
        <x:v>AI IDEs, developer experience, agent workflows</x:v>
      </x:c>
      <x:c r="I90" s="20" t="str">
        <x:v>Yes</x:v>
      </x:c>
      <x:c r="J90" s="20" t="str">
        <x:v>Cursor releases, technical talks, X</x:v>
      </x:c>
      <x:c r="K90" s="32" t="str">
        <x:v>@sualehasif</x:v>
      </x:c>
      <x:c r="L90" s="20" t="str">
        <x:v>High-confidence handle</x:v>
      </x:c>
      <x:c r="M90" s="20" t="str">
        <x:v>Weekly</x:v>
      </x:c>
      <x:c r="N90" s="20" t="str">
        <x:v>High</x:v>
      </x:c>
      <x:c r="O90" s="30" t="str">
        <x:v>2026-07-13</x:v>
      </x:c>
      <x:c r="P90" s="20" t="str">
        <x:v>Technical/product signal from Cursor's founding team.</x:v>
      </x:c>
      <x:c r="Q90" s="32" t="str">
        <x:v>https://www.accel.com/companies/cursor</x:v>
      </x:c>
      <x:c r="R90" s="32" t="str">
        <x:v>https://www.cursor.com/changelog</x:v>
      </x:c>
      <x:c r="S90" s="26" t="n">
        <x:v>5</x:v>
      </x:c>
      <x:c r="T90" s="26" t="n">
        <x:v>4</x:v>
      </x:c>
      <x:c r="U90" s="26" t="n">
        <x:v>4</x:v>
      </x:c>
      <x:c r="V90" s="26" t="n">
        <x:v>4</x:v>
      </x:c>
      <x:c r="W90" s="26" t="n">
        <x:v>5</x:v>
      </x:c>
    </x:row>
    <x:row r="91" ht="50" customHeight="1">
      <x:c r="A91" s="26" t="n">
        <x:v>90</x:v>
      </x:c>
      <x:c r="B91" s="28" t="n">
        <x:f>ROUND((S91*Scoring_Model!$B$4+T91*Scoring_Model!$B$5+U91*Scoring_Model!$B$6+V91*Scoring_Model!$B$7+W91*Scoring_Model!$B$8)/Scoring_Model!$B$9*Scoring_Model!$B$10,1)</x:f>
        <x:v>83</x:v>
      </x:c>
      <x:c r="C91" s="20" t="str">
        <x:f>IF(B91&gt;=Scoring_Model!$B$11,"T1",IF(B91&gt;=Scoring_Model!$B$12,"T2","T3"))</x:f>
        <x:v>T3</x:v>
      </x:c>
      <x:c r="D91" s="20" t="str">
        <x:v>Coding-agent companies</x:v>
      </x:c>
      <x:c r="E91" s="20" t="str">
        <x:v>Scott Wu</x:v>
      </x:c>
      <x:c r="F91" s="20" t="str">
        <x:v>Cognition</x:v>
      </x:c>
      <x:c r="G91" s="20" t="str">
        <x:v>Co-founder and CEO; technical founder</x:v>
      </x:c>
      <x:c r="H91" s="20" t="str">
        <x:v>autonomous software agents, Devin</x:v>
      </x:c>
      <x:c r="I91" s="20" t="str">
        <x:v>Mixed</x:v>
      </x:c>
      <x:c r="J91" s="20" t="str">
        <x:v>Cognition technical posts/releases, X</x:v>
      </x:c>
      <x:c r="K91" s="32" t="str"/>
      <x:c r="L91" s="20" t="str">
        <x:v>Not resolved</x:v>
      </x:c>
      <x:c r="M91" s="20" t="str">
        <x:v>Weekly</x:v>
      </x:c>
      <x:c r="N91" s="20" t="str">
        <x:v>High</x:v>
      </x:c>
      <x:c r="O91" s="30" t="str">
        <x:v>2026-07-13</x:v>
      </x:c>
      <x:c r="P91" s="20" t="str">
        <x:v>Direct signal on autonomous software-engineering agents and their production deployment.</x:v>
      </x:c>
      <x:c r="Q91" s="32" t="str">
        <x:v>https://cognition.ai/about</x:v>
      </x:c>
      <x:c r="R91" s="32" t="str">
        <x:v>https://cognition.ai/blog</x:v>
      </x:c>
      <x:c r="S91" s="26" t="n">
        <x:v>5</x:v>
      </x:c>
      <x:c r="T91" s="26" t="n">
        <x:v>4</x:v>
      </x:c>
      <x:c r="U91" s="26" t="n">
        <x:v>4</x:v>
      </x:c>
      <x:c r="V91" s="26" t="n">
        <x:v>3</x:v>
      </x:c>
      <x:c r="W91" s="26" t="n">
        <x:v>5</x:v>
      </x:c>
    </x:row>
    <x:row r="92" ht="50" customHeight="1">
      <x:c r="A92" s="26" t="n">
        <x:v>91</x:v>
      </x:c>
      <x:c r="B92" s="28" t="n">
        <x:f>ROUND((S92*Scoring_Model!$B$4+T92*Scoring_Model!$B$5+U92*Scoring_Model!$B$6+V92*Scoring_Model!$B$7+W92*Scoring_Model!$B$8)/Scoring_Model!$B$9*Scoring_Model!$B$10,1)</x:f>
        <x:v>87</x:v>
      </x:c>
      <x:c r="C92" s="20" t="str">
        <x:f>IF(B92&gt;=Scoring_Model!$B$11,"T1",IF(B92&gt;=Scoring_Model!$B$12,"T2","T3"))</x:f>
        <x:v>T3</x:v>
      </x:c>
      <x:c r="D92" s="20" t="str">
        <x:v>Coding-agent companies</x:v>
      </x:c>
      <x:c r="E92" s="20" t="str">
        <x:v>Walden Yan</x:v>
      </x:c>
      <x:c r="F92" s="20" t="str">
        <x:v>Cognition</x:v>
      </x:c>
      <x:c r="G92" s="20" t="str">
        <x:v>Co-founder and chief product/technical builder</x:v>
      </x:c>
      <x:c r="H92" s="20" t="str">
        <x:v>coding agents, product architecture</x:v>
      </x:c>
      <x:c r="I92" s="20" t="str">
        <x:v>Yes</x:v>
      </x:c>
      <x:c r="J92" s="20" t="str">
        <x:v>Cognition releases, technical posts, X</x:v>
      </x:c>
      <x:c r="K92" s="32" t="str">
        <x:v>@waldenyan</x:v>
      </x:c>
      <x:c r="L92" s="20" t="str">
        <x:v>High-confidence handle</x:v>
      </x:c>
      <x:c r="M92" s="20" t="str">
        <x:v>Weekly</x:v>
      </x:c>
      <x:c r="N92" s="20" t="str">
        <x:v>High</x:v>
      </x:c>
      <x:c r="O92" s="30" t="str">
        <x:v>2026-07-13</x:v>
      </x:c>
      <x:c r="P92" s="20" t="str">
        <x:v>Founding-team signal on coding-agent behavior and product constraints.</x:v>
      </x:c>
      <x:c r="Q92" s="32" t="str">
        <x:v>https://cognition.ai/about</x:v>
      </x:c>
      <x:c r="R92" s="32" t="str">
        <x:v>https://cognition.ai/blog</x:v>
      </x:c>
      <x:c r="S92" s="26" t="n">
        <x:v>5</x:v>
      </x:c>
      <x:c r="T92" s="26" t="n">
        <x:v>4</x:v>
      </x:c>
      <x:c r="U92" s="26" t="n">
        <x:v>4</x:v>
      </x:c>
      <x:c r="V92" s="26" t="n">
        <x:v>4</x:v>
      </x:c>
      <x:c r="W92" s="26" t="n">
        <x:v>5</x:v>
      </x:c>
    </x:row>
    <x:row r="93" ht="50" customHeight="1">
      <x:c r="A93" s="26" t="n">
        <x:v>92</x:v>
      </x:c>
      <x:c r="B93" s="28" t="n">
        <x:f>ROUND((S93*Scoring_Model!$B$4+T93*Scoring_Model!$B$5+U93*Scoring_Model!$B$6+V93*Scoring_Model!$B$7+W93*Scoring_Model!$B$8)/Scoring_Model!$B$9*Scoring_Model!$B$10,1)</x:f>
        <x:v>87</x:v>
      </x:c>
      <x:c r="C93" s="20" t="str">
        <x:f>IF(B93&gt;=Scoring_Model!$B$11,"T1",IF(B93&gt;=Scoring_Model!$B$12,"T2","T3"))</x:f>
        <x:v>T3</x:v>
      </x:c>
      <x:c r="D93" s="20" t="str">
        <x:v>Coding-agent companies</x:v>
      </x:c>
      <x:c r="E93" s="20" t="str">
        <x:v>Steven Hao</x:v>
      </x:c>
      <x:c r="F93" s="20" t="str">
        <x:v>Cognition</x:v>
      </x:c>
      <x:c r="G93" s="20" t="str">
        <x:v>Co-founder and technical builder</x:v>
      </x:c>
      <x:c r="H93" s="20" t="str">
        <x:v>coding-agent systems, infrastructure</x:v>
      </x:c>
      <x:c r="I93" s="20" t="str">
        <x:v>Yes</x:v>
      </x:c>
      <x:c r="J93" s="20" t="str">
        <x:v>Cognition technical posts/releases</x:v>
      </x:c>
      <x:c r="K93" s="32" t="str"/>
      <x:c r="L93" s="20" t="str">
        <x:v>Not resolved</x:v>
      </x:c>
      <x:c r="M93" s="20" t="str">
        <x:v>Weekly</x:v>
      </x:c>
      <x:c r="N93" s="20" t="str">
        <x:v>Medium</x:v>
      </x:c>
      <x:c r="O93" s="30" t="str">
        <x:v>2026-07-13</x:v>
      </x:c>
      <x:c r="P93" s="20" t="str">
        <x:v>Behind-the-scenes engineering signal from Devin's founding team.</x:v>
      </x:c>
      <x:c r="Q93" s="32" t="str">
        <x:v>https://cognition.ai/about</x:v>
      </x:c>
      <x:c r="R93" s="32" t="str">
        <x:v>https://cognition.ai/blog</x:v>
      </x:c>
      <x:c r="S93" s="26" t="n">
        <x:v>5</x:v>
      </x:c>
      <x:c r="T93" s="26" t="n">
        <x:v>4</x:v>
      </x:c>
      <x:c r="U93" s="26" t="n">
        <x:v>4</x:v>
      </x:c>
      <x:c r="V93" s="26" t="n">
        <x:v>4</x:v>
      </x:c>
      <x:c r="W93" s="26" t="n">
        <x:v>5</x:v>
      </x:c>
    </x:row>
    <x:row r="94" ht="50" customHeight="1">
      <x:c r="A94" s="26" t="n">
        <x:v>93</x:v>
      </x:c>
      <x:c r="B94" s="28" t="n">
        <x:f>ROUND((S94*Scoring_Model!$B$4+T94*Scoring_Model!$B$5+U94*Scoring_Model!$B$6+V94*Scoring_Model!$B$7+W94*Scoring_Model!$B$8)/Scoring_Model!$B$9*Scoring_Model!$B$10,1)</x:f>
        <x:v>83</x:v>
      </x:c>
      <x:c r="C94" s="20" t="str">
        <x:f>IF(B94&gt;=Scoring_Model!$B$11,"T1",IF(B94&gt;=Scoring_Model!$B$12,"T2","T3"))</x:f>
        <x:v>T3</x:v>
      </x:c>
      <x:c r="D94" s="20" t="str">
        <x:v>Coding-agent companies</x:v>
      </x:c>
      <x:c r="E94" s="20" t="str">
        <x:v>Amjad Masad</x:v>
      </x:c>
      <x:c r="F94" s="20" t="str">
        <x:v>Replit</x:v>
      </x:c>
      <x:c r="G94" s="20" t="str">
        <x:v>Founder and CEO; technical founder</x:v>
      </x:c>
      <x:c r="H94" s="20" t="str">
        <x:v>coding agents, cloud workspaces, agent deployment</x:v>
      </x:c>
      <x:c r="I94" s="20" t="str">
        <x:v>Mixed</x:v>
      </x:c>
      <x:c r="J94" s="20" t="str">
        <x:v>Replit releases, engineering blog, X</x:v>
      </x:c>
      <x:c r="K94" s="32" t="str">
        <x:v>@amasad</x:v>
      </x:c>
      <x:c r="L94" s="20" t="str">
        <x:v>Verified</x:v>
      </x:c>
      <x:c r="M94" s="20" t="str">
        <x:v>Daily</x:v>
      </x:c>
      <x:c r="N94" s="20" t="str">
        <x:v>High</x:v>
      </x:c>
      <x:c r="O94" s="30" t="str">
        <x:v>2026-07-13</x:v>
      </x:c>
      <x:c r="P94" s="20" t="str">
        <x:v>Strong signal on coding agents operating inside full cloud development environments.</x:v>
      </x:c>
      <x:c r="Q94" s="32" t="str">
        <x:v>https://replit.com/about</x:v>
      </x:c>
      <x:c r="R94" s="32" t="str">
        <x:v>https://blog.replit.com/</x:v>
      </x:c>
      <x:c r="S94" s="26" t="n">
        <x:v>5</x:v>
      </x:c>
      <x:c r="T94" s="26" t="n">
        <x:v>4</x:v>
      </x:c>
      <x:c r="U94" s="26" t="n">
        <x:v>4</x:v>
      </x:c>
      <x:c r="V94" s="26" t="n">
        <x:v>3</x:v>
      </x:c>
      <x:c r="W94" s="26" t="n">
        <x:v>5</x:v>
      </x:c>
    </x:row>
    <x:row r="95" ht="50" customHeight="1">
      <x:c r="A95" s="26" t="n">
        <x:v>94</x:v>
      </x:c>
      <x:c r="B95" s="28" t="n">
        <x:f>ROUND((S95*Scoring_Model!$B$4+T95*Scoring_Model!$B$5+U95*Scoring_Model!$B$6+V95*Scoring_Model!$B$7+W95*Scoring_Model!$B$8)/Scoring_Model!$B$9*Scoring_Model!$B$10,1)</x:f>
        <x:v>91</x:v>
      </x:c>
      <x:c r="C95" s="20" t="str">
        <x:f>IF(B95&gt;=Scoring_Model!$B$11,"T1",IF(B95&gt;=Scoring_Model!$B$12,"T2","T3"))</x:f>
        <x:v>T2</x:v>
      </x:c>
      <x:c r="D95" s="20" t="str">
        <x:v>Coding-agent companies</x:v>
      </x:c>
      <x:c r="E95" s="20" t="str">
        <x:v>Paul Klein IV</x:v>
      </x:c>
      <x:c r="F95" s="20" t="str">
        <x:v>Browserbase</x:v>
      </x:c>
      <x:c r="G95" s="20" t="str">
        <x:v>Founder and CEO; browser infrastructure builder</x:v>
      </x:c>
      <x:c r="H95" s="20" t="str">
        <x:v>browser agents, web execution, observability</x:v>
      </x:c>
      <x:c r="I95" s="20" t="str">
        <x:v>Mixed</x:v>
      </x:c>
      <x:c r="J95" s="20" t="str">
        <x:v>Browserbase/Stagehand releases, GitHub, X</x:v>
      </x:c>
      <x:c r="K95" s="32" t="str">
        <x:v>@paulkleinIV</x:v>
      </x:c>
      <x:c r="L95" s="20" t="str">
        <x:v>High-confidence handle</x:v>
      </x:c>
      <x:c r="M95" s="20" t="str">
        <x:v>2x weekly</x:v>
      </x:c>
      <x:c r="N95" s="20" t="str">
        <x:v>Medium</x:v>
      </x:c>
      <x:c r="O95" s="30" t="str">
        <x:v>2026-07-13</x:v>
      </x:c>
      <x:c r="P95" s="20" t="str">
        <x:v>Important source for reliable browser execution infrastructure used by agents.</x:v>
      </x:c>
      <x:c r="Q95" s="32" t="str">
        <x:v>https://www.browserbase.com/</x:v>
      </x:c>
      <x:c r="R95" s="32" t="str">
        <x:v>https://github.com/browserbase/stagehand</x:v>
      </x:c>
      <x:c r="S95" s="26" t="n">
        <x:v>5</x:v>
      </x:c>
      <x:c r="T95" s="26" t="n">
        <x:v>4</x:v>
      </x:c>
      <x:c r="U95" s="26" t="n">
        <x:v>5</x:v>
      </x:c>
      <x:c r="V95" s="26" t="n">
        <x:v>4</x:v>
      </x:c>
      <x:c r="W95" s="26" t="n">
        <x:v>5</x:v>
      </x:c>
    </x:row>
    <x:row r="96" ht="50" customHeight="1">
      <x:c r="A96" s="26" t="n">
        <x:v>95</x:v>
      </x:c>
      <x:c r="B96" s="28" t="n">
        <x:f>ROUND((S96*Scoring_Model!$B$4+T96*Scoring_Model!$B$5+U96*Scoring_Model!$B$6+V96*Scoring_Model!$B$7+W96*Scoring_Model!$B$8)/Scoring_Model!$B$9*Scoring_Model!$B$10,1)</x:f>
        <x:v>96</x:v>
      </x:c>
      <x:c r="C96" s="20" t="str">
        <x:f>IF(B96&gt;=Scoring_Model!$B$11,"T1",IF(B96&gt;=Scoring_Model!$B$12,"T2","T3"))</x:f>
        <x:v>T2</x:v>
      </x:c>
      <x:c r="D96" s="20" t="str">
        <x:v>Independent technical filters</x:v>
      </x:c>
      <x:c r="E96" s="20" t="str">
        <x:v>Simon Willison</x:v>
      </x:c>
      <x:c r="F96" s="20" t="str">
        <x:v>Independent</x:v>
      </x:c>
      <x:c r="G96" s="20" t="str">
        <x:v>Technical writer and open-source developer</x:v>
      </x:c>
      <x:c r="H96" s="20" t="str">
        <x:v>LLM tools, agents, security, model releases</x:v>
      </x:c>
      <x:c r="I96" s="20" t="str">
        <x:v>Yes</x:v>
      </x:c>
      <x:c r="J96" s="20" t="str">
        <x:v>Personal blog/RSS, GitHub, X</x:v>
      </x:c>
      <x:c r="K96" s="32" t="str">
        <x:v>@simonw</x:v>
      </x:c>
      <x:c r="L96" s="20" t="str">
        <x:v>Verified</x:v>
      </x:c>
      <x:c r="M96" s="20" t="str">
        <x:v>Daily</x:v>
      </x:c>
      <x:c r="N96" s="20" t="str">
        <x:v>High</x:v>
      </x:c>
      <x:c r="O96" s="30" t="str">
        <x:v>2026-07-13</x:v>
      </x:c>
      <x:c r="P96" s="20" t="str">
        <x:v>Exceptionally fast, evidence-linked coverage with runnable examples and sharp security analysis.</x:v>
      </x:c>
      <x:c r="Q96" s="32" t="str">
        <x:v>https://simonwillison.net/</x:v>
      </x:c>
      <x:c r="R96" s="32" t="str">
        <x:v>https://github.com/simonw</x:v>
      </x:c>
      <x:c r="S96" s="26" t="n">
        <x:v>5</x:v>
      </x:c>
      <x:c r="T96" s="26" t="n">
        <x:v>5</x:v>
      </x:c>
      <x:c r="U96" s="26" t="n">
        <x:v>5</x:v>
      </x:c>
      <x:c r="V96" s="26" t="n">
        <x:v>4</x:v>
      </x:c>
      <x:c r="W96" s="26" t="n">
        <x:v>5</x:v>
      </x:c>
    </x:row>
    <x:row r="97" ht="50" customHeight="1">
      <x:c r="A97" s="26" t="n">
        <x:v>96</x:v>
      </x:c>
      <x:c r="B97" s="28" t="n">
        <x:f>ROUND((S97*Scoring_Model!$B$4+T97*Scoring_Model!$B$5+U97*Scoring_Model!$B$6+V97*Scoring_Model!$B$7+W97*Scoring_Model!$B$8)/Scoring_Model!$B$9*Scoring_Model!$B$10,1)</x:f>
        <x:v>79</x:v>
      </x:c>
      <x:c r="C97" s="20" t="str">
        <x:f>IF(B97&gt;=Scoring_Model!$B$11,"T1",IF(B97&gt;=Scoring_Model!$B$12,"T2","T3"))</x:f>
        <x:v>T3</x:v>
      </x:c>
      <x:c r="D97" s="20" t="str">
        <x:v>Independent technical filters</x:v>
      </x:c>
      <x:c r="E97" s="20" t="str">
        <x:v>Shawn “swyx” Wang</x:v>
      </x:c>
      <x:c r="F97" s="20" t="str">
        <x:v>Latent Space</x:v>
      </x:c>
      <x:c r="G97" s="20" t="str">
        <x:v>Technical analyst, podcaster, community builder</x:v>
      </x:c>
      <x:c r="H97" s="20" t="str">
        <x:v>agents, developer tools, AI engineering</x:v>
      </x:c>
      <x:c r="I97" s="20" t="str">
        <x:v>Mixed</x:v>
      </x:c>
      <x:c r="J97" s="20" t="str">
        <x:v>Latent Space podcast/newsletter, X threads/replies</x:v>
      </x:c>
      <x:c r="K97" s="32" t="str">
        <x:v>@swyx</x:v>
      </x:c>
      <x:c r="L97" s="20" t="str">
        <x:v>Verified</x:v>
      </x:c>
      <x:c r="M97" s="20" t="str">
        <x:v>Daily</x:v>
      </x:c>
      <x:c r="N97" s="20" t="str">
        <x:v>High</x:v>
      </x:c>
      <x:c r="O97" s="30" t="str">
        <x:v>2026-07-13</x:v>
      </x:c>
      <x:c r="P97" s="20" t="str">
        <x:v>Strong discovery layer for emerging builders, papers, and developer-tool movements.</x:v>
      </x:c>
      <x:c r="Q97" s="32" t="str">
        <x:v>https://www.latent.space/</x:v>
      </x:c>
      <x:c r="R97" s="32" t="str">
        <x:v>https://x.com/swyx</x:v>
      </x:c>
      <x:c r="S97" s="26" t="n">
        <x:v>5</x:v>
      </x:c>
      <x:c r="T97" s="26" t="n">
        <x:v>4</x:v>
      </x:c>
      <x:c r="U97" s="26" t="n">
        <x:v>3</x:v>
      </x:c>
      <x:c r="V97" s="26" t="n">
        <x:v>3</x:v>
      </x:c>
      <x:c r="W97" s="26" t="n">
        <x:v>5</x:v>
      </x:c>
    </x:row>
    <x:row r="98" ht="50" customHeight="1">
      <x:c r="A98" s="26" t="n">
        <x:v>97</x:v>
      </x:c>
      <x:c r="B98" s="28" t="n">
        <x:f>ROUND((S98*Scoring_Model!$B$4+T98*Scoring_Model!$B$5+U98*Scoring_Model!$B$6+V98*Scoring_Model!$B$7+W98*Scoring_Model!$B$8)/Scoring_Model!$B$9*Scoring_Model!$B$10,1)</x:f>
        <x:v>79</x:v>
      </x:c>
      <x:c r="C98" s="20" t="str">
        <x:f>IF(B98&gt;=Scoring_Model!$B$11,"T1",IF(B98&gt;=Scoring_Model!$B$12,"T2","T3"))</x:f>
        <x:v>T3</x:v>
      </x:c>
      <x:c r="D98" s="20" t="str">
        <x:v>Independent technical filters</x:v>
      </x:c>
      <x:c r="E98" s="20" t="str">
        <x:v>Nathan Lambert</x:v>
      </x:c>
      <x:c r="F98" s="20" t="str">
        <x:v>Interconnects</x:v>
      </x:c>
      <x:c r="G98" s="20" t="str">
        <x:v>Research analyst and technical writer</x:v>
      </x:c>
      <x:c r="H98" s="20" t="str">
        <x:v>post-training, open models, AI labs, agents</x:v>
      </x:c>
      <x:c r="I98" s="20" t="str">
        <x:v>Mixed</x:v>
      </x:c>
      <x:c r="J98" s="20" t="str">
        <x:v>Interconnects newsletter, X, papers</x:v>
      </x:c>
      <x:c r="K98" s="32" t="str">
        <x:v>@natolambert</x:v>
      </x:c>
      <x:c r="L98" s="20" t="str">
        <x:v>Verified</x:v>
      </x:c>
      <x:c r="M98" s="20" t="str">
        <x:v>Daily</x:v>
      </x:c>
      <x:c r="N98" s="20" t="str">
        <x:v>High</x:v>
      </x:c>
      <x:c r="O98" s="30" t="str">
        <x:v>2026-07-13</x:v>
      </x:c>
      <x:c r="P98" s="20" t="str">
        <x:v>Technical synthesis with strong primary-source orientation and model-training expertise.</x:v>
      </x:c>
      <x:c r="Q98" s="32" t="str">
        <x:v>https://www.interconnects.ai/</x:v>
      </x:c>
      <x:c r="R98" s="32" t="str">
        <x:v>https://x.com/natolambert</x:v>
      </x:c>
      <x:c r="S98" s="26" t="n">
        <x:v>4</x:v>
      </x:c>
      <x:c r="T98" s="26" t="n">
        <x:v>5</x:v>
      </x:c>
      <x:c r="U98" s="26" t="n">
        <x:v>3</x:v>
      </x:c>
      <x:c r="V98" s="26" t="n">
        <x:v>3</x:v>
      </x:c>
      <x:c r="W98" s="26" t="n">
        <x:v>5</x:v>
      </x:c>
    </x:row>
    <x:row r="99" ht="50" customHeight="1">
      <x:c r="A99" s="26" t="n">
        <x:v>98</x:v>
      </x:c>
      <x:c r="B99" s="28" t="n">
        <x:f>ROUND((S99*Scoring_Model!$B$4+T99*Scoring_Model!$B$5+U99*Scoring_Model!$B$6+V99*Scoring_Model!$B$7+W99*Scoring_Model!$B$8)/Scoring_Model!$B$9*Scoring_Model!$B$10,1)</x:f>
        <x:v>71</x:v>
      </x:c>
      <x:c r="C99" s="20" t="str">
        <x:f>IF(B99&gt;=Scoring_Model!$B$11,"T1",IF(B99&gt;=Scoring_Model!$B$12,"T2","T3"))</x:f>
        <x:v>T3</x:v>
      </x:c>
      <x:c r="D99" s="20" t="str">
        <x:v>Independent technical filters</x:v>
      </x:c>
      <x:c r="E99" s="20" t="str">
        <x:v>Jack Clark</x:v>
      </x:c>
      <x:c r="F99" s="20" t="str">
        <x:v>Import AI</x:v>
      </x:c>
      <x:c r="G99" s="20" t="str">
        <x:v>Research analyst and policy/technical writer</x:v>
      </x:c>
      <x:c r="H99" s="20" t="str">
        <x:v>frontier research, lab activity, safety</x:v>
      </x:c>
      <x:c r="I99" s="20" t="str">
        <x:v>Mixed</x:v>
      </x:c>
      <x:c r="J99" s="20" t="str">
        <x:v>Import AI newsletter, X</x:v>
      </x:c>
      <x:c r="K99" s="32" t="str">
        <x:v>@jackclarkSF</x:v>
      </x:c>
      <x:c r="L99" s="20" t="str">
        <x:v>Verified</x:v>
      </x:c>
      <x:c r="M99" s="20" t="str">
        <x:v>Weekly</x:v>
      </x:c>
      <x:c r="N99" s="20" t="str">
        <x:v>High</x:v>
      </x:c>
      <x:c r="O99" s="30" t="str">
        <x:v>2026-07-13</x:v>
      </x:c>
      <x:c r="P99" s="20" t="str">
        <x:v>Long-running, research-focused filter across papers, labs, and strategic implications.</x:v>
      </x:c>
      <x:c r="Q99" s="32" t="str">
        <x:v>https://jack-clark.net/</x:v>
      </x:c>
      <x:c r="R99" s="32" t="str">
        <x:v>https://x.com/jackclarkSF</x:v>
      </x:c>
      <x:c r="S99" s="26" t="n">
        <x:v>4</x:v>
      </x:c>
      <x:c r="T99" s="26" t="n">
        <x:v>5</x:v>
      </x:c>
      <x:c r="U99" s="26" t="n">
        <x:v>2</x:v>
      </x:c>
      <x:c r="V99" s="26" t="n">
        <x:v>2</x:v>
      </x:c>
      <x:c r="W99" s="26" t="n">
        <x:v>5</x:v>
      </x:c>
    </x:row>
    <x:row r="100" ht="50" customHeight="1">
      <x:c r="A100" s="26" t="n">
        <x:v>99</x:v>
      </x:c>
      <x:c r="B100" s="28" t="n">
        <x:f>ROUND((S100*Scoring_Model!$B$4+T100*Scoring_Model!$B$5+U100*Scoring_Model!$B$6+V100*Scoring_Model!$B$7+W100*Scoring_Model!$B$8)/Scoring_Model!$B$9*Scoring_Model!$B$10,1)</x:f>
        <x:v>92</x:v>
      </x:c>
      <x:c r="C100" s="20" t="str">
        <x:f>IF(B100&gt;=Scoring_Model!$B$11,"T1",IF(B100&gt;=Scoring_Model!$B$12,"T2","T3"))</x:f>
        <x:v>T2</x:v>
      </x:c>
      <x:c r="D100" s="20" t="str">
        <x:v>Independent technical filters</x:v>
      </x:c>
      <x:c r="E100" s="20" t="str">
        <x:v>Chip Huyen</x:v>
      </x:c>
      <x:c r="F100" s="20" t="str">
        <x:v>Independent / Tep Studio</x:v>
      </x:c>
      <x:c r="G100" s="20" t="str">
        <x:v>AI systems author and builder</x:v>
      </x:c>
      <x:c r="H100" s="20" t="str">
        <x:v>AI engineering, agents, evaluation, production</x:v>
      </x:c>
      <x:c r="I100" s="20" t="str">
        <x:v>Yes</x:v>
      </x:c>
      <x:c r="J100" s="20" t="str">
        <x:v>Personal blog, books, talks, X</x:v>
      </x:c>
      <x:c r="K100" s="32" t="str">
        <x:v>@chipro</x:v>
      </x:c>
      <x:c r="L100" s="20" t="str">
        <x:v>Verified</x:v>
      </x:c>
      <x:c r="M100" s="20" t="str">
        <x:v>Weekly</x:v>
      </x:c>
      <x:c r="N100" s="20" t="str">
        <x:v>High</x:v>
      </x:c>
      <x:c r="O100" s="30" t="str">
        <x:v>2026-07-13</x:v>
      </x:c>
      <x:c r="P100" s="20" t="str">
        <x:v>Production-systems perspective on tools, planning, failure modes, and agent evaluation.</x:v>
      </x:c>
      <x:c r="Q100" s="32" t="str">
        <x:v>https://huyenchip.com/</x:v>
      </x:c>
      <x:c r="R100" s="32" t="str">
        <x:v>https://huyenchip.com/2025/01/07/agents.html</x:v>
      </x:c>
      <x:c r="S100" s="26" t="n">
        <x:v>5</x:v>
      </x:c>
      <x:c r="T100" s="26" t="n">
        <x:v>5</x:v>
      </x:c>
      <x:c r="U100" s="26" t="n">
        <x:v>4</x:v>
      </x:c>
      <x:c r="V100" s="26" t="n">
        <x:v>4</x:v>
      </x:c>
      <x:c r="W100" s="26" t="n">
        <x:v>5</x:v>
      </x:c>
    </x:row>
    <x:row r="101" ht="50" customHeight="1">
      <x:c r="A101" s="26" t="n">
        <x:v>100</x:v>
      </x:c>
      <x:c r="B101" s="28" t="n">
        <x:f>ROUND((S101*Scoring_Model!$B$4+T101*Scoring_Model!$B$5+U101*Scoring_Model!$B$6+V101*Scoring_Model!$B$7+W101*Scoring_Model!$B$8)/Scoring_Model!$B$9*Scoring_Model!$B$10,1)</x:f>
        <x:v>96</x:v>
      </x:c>
      <x:c r="C101" s="20" t="str">
        <x:f>IF(B101&gt;=Scoring_Model!$B$11,"T1",IF(B101&gt;=Scoring_Model!$B$12,"T2","T3"))</x:f>
        <x:v>T2</x:v>
      </x:c>
      <x:c r="D101" s="20" t="str">
        <x:v>Independent technical filters</x:v>
      </x:c>
      <x:c r="E101" s="20" t="str">
        <x:v>Hamel Husain</x:v>
      </x:c>
      <x:c r="F101" s="20" t="str">
        <x:v>Independent</x:v>
      </x:c>
      <x:c r="G101" s="20" t="str">
        <x:v>LLM systems/evaluation practitioner</x:v>
      </x:c>
      <x:c r="H101" s="20" t="str">
        <x:v>evals, error analysis, production agents</x:v>
      </x:c>
      <x:c r="I101" s="20" t="str">
        <x:v>Yes</x:v>
      </x:c>
      <x:c r="J101" s="20" t="str">
        <x:v>Personal site, workshops, GitHub, X</x:v>
      </x:c>
      <x:c r="K101" s="32" t="str">
        <x:v>@HamelHusain</x:v>
      </x:c>
      <x:c r="L101" s="20" t="str">
        <x:v>Verified</x:v>
      </x:c>
      <x:c r="M101" s="20" t="str">
        <x:v>Weekly</x:v>
      </x:c>
      <x:c r="N101" s="20" t="str">
        <x:v>High</x:v>
      </x:c>
      <x:c r="O101" s="30" t="str">
        <x:v>2026-07-13</x:v>
      </x:c>
      <x:c r="P101" s="20" t="str">
        <x:v>High-value practical guidance on evaluation, data, and debugging of real LLM systems.</x:v>
      </x:c>
      <x:c r="Q101" s="32" t="str">
        <x:v>https://hamel.dev/</x:v>
      </x:c>
      <x:c r="R101" s="32" t="str">
        <x:v>https://github.com/hamelsmu</x:v>
      </x:c>
      <x:c r="S101" s="26" t="n">
        <x:v>5</x:v>
      </x:c>
      <x:c r="T101" s="26" t="n">
        <x:v>5</x:v>
      </x:c>
      <x:c r="U101" s="26" t="n">
        <x:v>5</x:v>
      </x:c>
      <x:c r="V101" s="26" t="n">
        <x:v>4</x:v>
      </x:c>
      <x:c r="W101" s="26" t="n">
        <x:v>5</x:v>
      </x:c>
    </x:row>
  </x:sheetData>
  <x:conditionalFormatting sqref="B2:B1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C2:C101">
    <x:cfRule type="expression" dxfId="0" priority="2">
      <x:formula>$C2="T1"</x:formula>
    </x:cfRule>
    <x:cfRule type="expression" dxfId="1" priority="3">
      <x:formula>$C2="T2"</x:formula>
    </x:cfRule>
    <x:cfRule type="expression" dxfId="2" priority="4">
      <x:formula>$C2="T3"</x:formula>
    </x:cfRule>
  </x:conditionalFormatting>
  <x:conditionalFormatting sqref="N2:N101">
    <x:cfRule type="expression" dxfId="3" priority="5">
      <x:formula>$N2="High"</x:formula>
    </x:cfRule>
    <x:cfRule type="expression" dxfId="4" priority="6">
      <x:formula>$N2="Medium"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82db02b82143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14" hidden="0" customWidth="1"/>
    <x:col min="5" max="5" width="42" hidden="0" customWidth="1"/>
    <x:col min="6" max="6" width="30" hidden="0" customWidth="1"/>
    <x:col min="7" max="7" width="28" hidden="0" customWidth="1"/>
    <x:col min="8" max="8" width="30" hidden="0" customWidth="1"/>
    <x:col min="9" max="9" width="38" hidden="0" customWidth="1"/>
    <x:col min="10" max="10" width="38" hidden="0" customWidth="1"/>
  </x:cols>
  <x:sheetData>
    <x:row r="1" ht="30" customHeight="1">
      <x:c r="A1" s="5" t="str">
        <x:v>Signal-channel hierarchy: speed, reliability and intended use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3" t="str">
        <x:v>Evidence layer</x:v>
      </x:c>
      <x:c r="B3" s="13" t="str">
        <x:v>Channel</x:v>
      </x:c>
      <x:c r="C3" s="13" t="str">
        <x:v>Typical latency</x:v>
      </x:c>
      <x:c r="D3" s="13" t="str">
        <x:v>Reliability</x:v>
      </x:c>
      <x:c r="E3" s="13" t="str">
        <x:v>Best information to extract</x:v>
      </x:c>
      <x:c r="F3" s="13" t="str">
        <x:v>Automation method</x:v>
      </x:c>
      <x:c r="G3" s="13" t="str">
        <x:v>Suggested cadence</x:v>
      </x:c>
      <x:c r="H3" s="13" t="str">
        <x:v>How to use it</x:v>
      </x:c>
      <x:c r="I3" s="13" t="str">
        <x:v>Main risks</x:v>
      </x:c>
      <x:c r="J3" s="13" t="str">
        <x:v>Examples</x:v>
      </x:c>
    </x:row>
    <x:row r="4" ht="50" customHeight="1">
      <x:c r="A4" s="20" t="str">
        <x:v>A — primary</x:v>
      </x:c>
      <x:c r="B4" s="20" t="str">
        <x:v>Official product changelogs / release notes</x:v>
      </x:c>
      <x:c r="C4" s="20" t="str">
        <x:v>Minutes–hours</x:v>
      </x:c>
      <x:c r="D4" s="20" t="str">
        <x:v>Very high</x:v>
      </x:c>
      <x:c r="E4" s="20" t="str">
        <x:v>New capabilities, deprecations, defaults, pricing or policy changes</x:v>
      </x:c>
      <x:c r="F4" s="20" t="str">
        <x:v>RSS/API/web diff</x:v>
      </x:c>
      <x:c r="G4" s="20" t="str">
        <x:v>Every 1–3 hours for critical products; daily otherwise</x:v>
      </x:c>
      <x:c r="H4" s="20" t="str">
        <x:v>Evidence + trigger</x:v>
      </x:c>
      <x:c r="I4" s="20" t="str">
        <x:v>Marketing framing; verify behavior in docs/code</x:v>
      </x:c>
      <x:c r="J4" s="20" t="str">
        <x:v>OpenAI/Anthropic/Google/Hugging Face changelogs</x:v>
      </x:c>
    </x:row>
    <x:row r="5" ht="50" customHeight="1">
      <x:c r="A5" s="20" t="str">
        <x:v>A — primary</x:v>
      </x:c>
      <x:c r="B5" s="20" t="str">
        <x:v>Official documentation diffs</x:v>
      </x:c>
      <x:c r="C5" s="20" t="str">
        <x:v>Hours</x:v>
      </x:c>
      <x:c r="D5" s="20" t="str">
        <x:v>Very high</x:v>
      </x:c>
      <x:c r="E5" s="20" t="str">
        <x:v>Changed APIs, limits, tool semantics, safety boundaries</x:v>
      </x:c>
      <x:c r="F5" s="20" t="str">
        <x:v>Sitemap/RSS where available; content hash diff</x:v>
      </x:c>
      <x:c r="G5" s="20" t="str">
        <x:v>Daily</x:v>
      </x:c>
      <x:c r="H5" s="20" t="str">
        <x:v>Evidence + compatibility alert</x:v>
      </x:c>
      <x:c r="I5" s="20" t="str">
        <x:v>Silent edits; capture timestamp and hash</x:v>
      </x:c>
      <x:c r="J5" s="20" t="str">
        <x:v>Developer docs, protocol specifications</x:v>
      </x:c>
    </x:row>
    <x:row r="6" ht="50" customHeight="1">
      <x:c r="A6" s="20" t="str">
        <x:v>A — primary</x:v>
      </x:c>
      <x:c r="B6" s="20" t="str">
        <x:v>GitHub releases / tags</x:v>
      </x:c>
      <x:c r="C6" s="20" t="str">
        <x:v>Minutes–hours</x:v>
      </x:c>
      <x:c r="D6" s="20" t="str">
        <x:v>Very high</x:v>
      </x:c>
      <x:c r="E6" s="20" t="str">
        <x:v>Versioned features, fixes, migrations, security notes</x:v>
      </x:c>
      <x:c r="F6" s="20" t="str">
        <x:v>GitHub API / Atom feeds</x:v>
      </x:c>
      <x:c r="G6" s="20" t="str">
        <x:v>Event-driven or hourly</x:v>
      </x:c>
      <x:c r="H6" s="20" t="str">
        <x:v>Evidence + implementation candidate</x:v>
      </x:c>
      <x:c r="I6" s="20" t="str">
        <x:v>Release notes may omit behavioral detail</x:v>
      </x:c>
      <x:c r="J6" s="20" t="str">
        <x:v>Codex, LangGraph, OpenClaw, Hermes, PydanticAI</x:v>
      </x:c>
    </x:row>
    <x:row r="7" ht="50" customHeight="1">
      <x:c r="A7" s="20" t="str">
        <x:v>A — primary</x:v>
      </x:c>
      <x:c r="B7" s="20" t="str">
        <x:v>GitHub commits, PRs and maintainer reviews</x:v>
      </x:c>
      <x:c r="C7" s="20" t="str">
        <x:v>Minutes</x:v>
      </x:c>
      <x:c r="D7" s="20" t="str">
        <x:v>Very high</x:v>
      </x:c>
      <x:c r="E7" s="20" t="str">
        <x:v>Actual design decisions, rejected alternatives, internal trade-offs</x:v>
      </x:c>
      <x:c r="F7" s="20" t="str">
        <x:v>GitHub API; watch selected paths/authors</x:v>
      </x:c>
      <x:c r="G7" s="20" t="str">
        <x:v>Hourly for priority repos; daily otherwise</x:v>
      </x:c>
      <x:c r="H7" s="20" t="str">
        <x:v>Evidence + architecture intelligence</x:v>
      </x:c>
      <x:c r="I7" s="20" t="str">
        <x:v>High volume; needs path/author filters</x:v>
      </x:c>
      <x:c r="J7" s="20" t="str">
        <x:v>Agent-loop, memory, compaction, sandbox, eval modules</x:v>
      </x:c>
    </x:row>
    <x:row r="8" ht="50" customHeight="1">
      <x:c r="A8" s="20" t="str">
        <x:v>A — primary</x:v>
      </x:c>
      <x:c r="B8" s="20" t="str">
        <x:v>GitHub issues / discussions</x:v>
      </x:c>
      <x:c r="C8" s="20" t="str">
        <x:v>Minutes–days</x:v>
      </x:c>
      <x:c r="D8" s="20" t="str">
        <x:v>High</x:v>
      </x:c>
      <x:c r="E8" s="20" t="str">
        <x:v>Production failures, edge cases, roadmap clues, maintainer reasoning</x:v>
      </x:c>
      <x:c r="F8" s="20" t="str">
        <x:v>GitHub API / notifications</x:v>
      </x:c>
      <x:c r="G8" s="20" t="str">
        <x:v>Daily</x:v>
      </x:c>
      <x:c r="H8" s="20" t="str">
        <x:v>Failure intelligence + candidate discovery</x:v>
      </x:c>
      <x:c r="I8" s="20" t="str">
        <x:v>Anecdotal reports; reproduce before adoption</x:v>
      </x:c>
      <x:c r="J8" s="20" t="str">
        <x:v>Bug reports and design RFCs</x:v>
      </x:c>
    </x:row>
    <x:row r="9" ht="50" customHeight="1">
      <x:c r="A9" s="20" t="str">
        <x:v>A — primary</x:v>
      </x:c>
      <x:c r="B9" s="20" t="str">
        <x:v>Package-registry releases</x:v>
      </x:c>
      <x:c r="C9" s="20" t="str">
        <x:v>Minutes–hours</x:v>
      </x:c>
      <x:c r="D9" s="20" t="str">
        <x:v>Very high</x:v>
      </x:c>
      <x:c r="E9" s="20" t="str">
        <x:v>Dependency versions, compatibility and supply-chain changes</x:v>
      </x:c>
      <x:c r="F9" s="20" t="str">
        <x:v>PyPI/npm/crates metadata feeds</x:v>
      </x:c>
      <x:c r="G9" s="20" t="str">
        <x:v>Hourly–daily</x:v>
      </x:c>
      <x:c r="H9" s="20" t="str">
        <x:v>Dependency trigger</x:v>
      </x:c>
      <x:c r="I9" s="20" t="str">
        <x:v>Typosquatting and compromised packages</x:v>
      </x:c>
      <x:c r="J9" s="20" t="str">
        <x:v>Agent SDKs, MCP packages, vector stores</x:v>
      </x:c>
    </x:row>
    <x:row r="10" ht="50" customHeight="1">
      <x:c r="A10" s="20" t="str">
        <x:v>A — primary</x:v>
      </x:c>
      <x:c r="B10" s="20" t="str">
        <x:v>Papers / preprints</x:v>
      </x:c>
      <x:c r="C10" s="20" t="str">
        <x:v>Hours–days</x:v>
      </x:c>
      <x:c r="D10" s="20" t="str">
        <x:v>High</x:v>
      </x:c>
      <x:c r="E10" s="20" t="str">
        <x:v>Novel methods, ablations, benchmarks and limitations</x:v>
      </x:c>
      <x:c r="F10" s="20" t="str">
        <x:v>arXiv/OpenReview/ACL feeds</x:v>
      </x:c>
      <x:c r="G10" s="20" t="str">
        <x:v>Daily</x:v>
      </x:c>
      <x:c r="H10" s="20" t="str">
        <x:v>Evidence; experiment candidate</x:v>
      </x:c>
      <x:c r="I10" s="20" t="str">
        <x:v>Paper claims can fail to reproduce</x:v>
      </x:c>
      <x:c r="J10" s="20" t="str">
        <x:v>cs.AI, cs.CL, cs.LG; ICLR/NeurIPS/ACL</x:v>
      </x:c>
    </x:row>
    <x:row r="11" ht="50" customHeight="1">
      <x:c r="A11" s="20" t="str">
        <x:v>A — primary</x:v>
      </x:c>
      <x:c r="B11" s="20" t="str">
        <x:v>Code and supplementary artifacts for papers</x:v>
      </x:c>
      <x:c r="C11" s="20" t="str">
        <x:v>Hours–weeks</x:v>
      </x:c>
      <x:c r="D11" s="20" t="str">
        <x:v>Very high</x:v>
      </x:c>
      <x:c r="E11" s="20" t="str">
        <x:v>Reproducibility, implementation details, datasets and configs</x:v>
      </x:c>
      <x:c r="F11" s="20" t="str">
        <x:v>Citation/code-link crawler; GitHub API</x:v>
      </x:c>
      <x:c r="G11" s="20" t="str">
        <x:v>Daily after paper detection</x:v>
      </x:c>
      <x:c r="H11" s="20" t="str">
        <x:v>Evidence + sandbox experiment</x:v>
      </x:c>
      <x:c r="I11" s="20" t="str">
        <x:v>Code may be incomplete or unsafe</x:v>
      </x:c>
      <x:c r="J11" s="20" t="str">
        <x:v>Official repositories and benchmark scripts</x:v>
      </x:c>
    </x:row>
    <x:row r="12" ht="50" customHeight="1">
      <x:c r="A12" s="20" t="str">
        <x:v>A — primary</x:v>
      </x:c>
      <x:c r="B12" s="20" t="str">
        <x:v>Benchmarks, eval repos and leaderboards</x:v>
      </x:c>
      <x:c r="C12" s="20" t="str">
        <x:v>Hours–days</x:v>
      </x:c>
      <x:c r="D12" s="20" t="str">
        <x:v>High</x:v>
      </x:c>
      <x:c r="E12" s="20" t="str">
        <x:v>Capability changes, regressions, methodology shifts</x:v>
      </x:c>
      <x:c r="F12" s="20" t="str">
        <x:v>API/scrape with schema validation</x:v>
      </x:c>
      <x:c r="G12" s="20" t="str">
        <x:v>Daily–weekly</x:v>
      </x:c>
      <x:c r="H12" s="20" t="str">
        <x:v>Evaluation input</x:v>
      </x:c>
      <x:c r="I12" s="20" t="str">
        <x:v>Benchmark gaming, contamination, weak task fit</x:v>
      </x:c>
      <x:c r="J12" s="20" t="str">
        <x:v>SWE-bench, OSWorld, agent eval suites</x:v>
      </x:c>
    </x:row>
    <x:row r="13" ht="50" customHeight="1">
      <x:c r="A13" s="20" t="str">
        <x:v>A — primary</x:v>
      </x:c>
      <x:c r="B13" s="20" t="str">
        <x:v>Model cards, system cards and safety reports</x:v>
      </x:c>
      <x:c r="C13" s="20" t="str">
        <x:v>Hours–days</x:v>
      </x:c>
      <x:c r="D13" s="20" t="str">
        <x:v>High</x:v>
      </x:c>
      <x:c r="E13" s="20" t="str">
        <x:v>Known failure modes, tool-use boundaries, mitigations</x:v>
      </x:c>
      <x:c r="F13" s="20" t="str">
        <x:v>Official feeds/web diff</x:v>
      </x:c>
      <x:c r="G13" s="20" t="str">
        <x:v>On release</x:v>
      </x:c>
      <x:c r="H13" s="20" t="str">
        <x:v>Risk model + test design</x:v>
      </x:c>
      <x:c r="I13" s="20" t="str">
        <x:v>Selective disclosure</x:v>
      </x:c>
      <x:c r="J13" s="20" t="str">
        <x:v>Frontier-model release documentation</x:v>
      </x:c>
    </x:row>
    <x:row r="14" ht="50" customHeight="1">
      <x:c r="A14" s="20" t="str">
        <x:v>B — direct technical</x:v>
      </x:c>
      <x:c r="B14" s="20" t="str">
        <x:v>Official engineering / research blogs</x:v>
      </x:c>
      <x:c r="C14" s="20" t="str">
        <x:v>Hours–days</x:v>
      </x:c>
      <x:c r="D14" s="20" t="str">
        <x:v>High</x:v>
      </x:c>
      <x:c r="E14" s="20" t="str">
        <x:v>Architecture, implementation lessons, operating constraints</x:v>
      </x:c>
      <x:c r="F14" s="20" t="str">
        <x:v>RSS/site map/content diff</x:v>
      </x:c>
      <x:c r="G14" s="20" t="str">
        <x:v>Daily</x:v>
      </x:c>
      <x:c r="H14" s="20" t="str">
        <x:v>Evidence-backed synthesis</x:v>
      </x:c>
      <x:c r="I14" s="20" t="str">
        <x:v>Curated narrative; inspect linked code</x:v>
      </x:c>
      <x:c r="J14" s="20" t="str">
        <x:v>OpenAI Engineering, Anthropic Engineering, Google Research, Meta AI</x:v>
      </x:c>
    </x:row>
    <x:row r="15" ht="50" customHeight="1">
      <x:c r="A15" s="20" t="str">
        <x:v>B — direct technical</x:v>
      </x:c>
      <x:c r="B15" s="20" t="str">
        <x:v>Standards and protocol repositories</x:v>
      </x:c>
      <x:c r="C15" s="20" t="str">
        <x:v>Minutes–days</x:v>
      </x:c>
      <x:c r="D15" s="20" t="str">
        <x:v>Very high</x:v>
      </x:c>
      <x:c r="E15" s="20" t="str">
        <x:v>Interoperability, schemas, permissions, versioning</x:v>
      </x:c>
      <x:c r="F15" s="20" t="str">
        <x:v>GitHub API; spec diff</x:v>
      </x:c>
      <x:c r="G15" s="20" t="str">
        <x:v>Daily</x:v>
      </x:c>
      <x:c r="H15" s="20" t="str">
        <x:v>Architecture + compatibility trigger</x:v>
      </x:c>
      <x:c r="I15" s="20" t="str">
        <x:v>Draft proposals may change</x:v>
      </x:c>
      <x:c r="J15" s="20" t="str">
        <x:v>MCP, agent-to-agent protocols</x:v>
      </x:c>
    </x:row>
    <x:row r="16" ht="50" customHeight="1">
      <x:c r="A16" s="20" t="str">
        <x:v>B — direct technical</x:v>
      </x:c>
      <x:c r="B16" s="20" t="str">
        <x:v>Conference/workshop programs and recorded talks</x:v>
      </x:c>
      <x:c r="C16" s="20" t="str">
        <x:v>Days–weeks</x:v>
      </x:c>
      <x:c r="D16" s="20" t="str">
        <x:v>High</x:v>
      </x:c>
      <x:c r="E16" s="20" t="str">
        <x:v>Work-in-progress, practitioner detail, emerging clusters</x:v>
      </x:c>
      <x:c r="F16" s="20" t="str">
        <x:v>Program/RSS/YouTube feed</x:v>
      </x:c>
      <x:c r="G16" s="20" t="str">
        <x:v>Weekly; daily around events</x:v>
      </x:c>
      <x:c r="H16" s="20" t="str">
        <x:v>Discovery + interpretation</x:v>
      </x:c>
      <x:c r="I16" s="20" t="str">
        <x:v>Slides can precede peer review</x:v>
      </x:c>
      <x:c r="J16" s="20" t="str">
        <x:v>ICLR/NeurIPS/ACL workshops, lab talks</x:v>
      </x:c>
    </x:row>
    <x:row r="17" ht="50" customHeight="1">
      <x:c r="A17" s="20" t="str">
        <x:v>B — early social</x:v>
      </x:c>
      <x:c r="B17" s="20" t="str">
        <x:v>X original posts from authors/maintainers</x:v>
      </x:c>
      <x:c r="C17" s="20" t="str">
        <x:v>Seconds–hours</x:v>
      </x:c>
      <x:c r="D17" s="20" t="str">
        <x:v>Medium</x:v>
      </x:c>
      <x:c r="E17" s="20" t="str">
        <x:v>Release alerts, paper links, concise opinions, emerging terms</x:v>
      </x:c>
      <x:c r="F17" s="20" t="str">
        <x:v>X API or Grok X Search</x:v>
      </x:c>
      <x:c r="G17" s="20" t="str">
        <x:v>Near real-time for Tier-1 accounts</x:v>
      </x:c>
      <x:c r="H17" s="20" t="str">
        <x:v>Discovery only until verified</x:v>
      </x:c>
      <x:c r="I17" s="20" t="str">
        <x:v>Hype, missing context, affiliation drift</x:v>
      </x:c>
      <x:c r="J17" s="20" t="str">
        <x:v>Root posts linking official artifacts</x:v>
      </x:c>
    </x:row>
    <x:row r="18" ht="50" customHeight="1">
      <x:c r="A18" s="20" t="str">
        <x:v>B — early social</x:v>
      </x:c>
      <x:c r="B18" s="20" t="str">
        <x:v>X reply trees</x:v>
      </x:c>
      <x:c r="C18" s="20" t="str">
        <x:v>Seconds–days</x:v>
      </x:c>
      <x:c r="D18" s="20" t="str">
        <x:v>Medium–high when identity-verified</x:v>
      </x:c>
      <x:c r="E18" s="20" t="str">
        <x:v>Production failures, clarifications, objections, implementation details</x:v>
      </x:c>
      <x:c r="F18" s="20" t="str">
        <x:v>conversation_id + author expansion</x:v>
      </x:c>
      <x:c r="G18" s="20" t="str">
        <x:v>Fetch after high-value root posts; revisit at 6h/24h</x:v>
      </x:c>
      <x:c r="H18" s="20" t="str">
        <x:v>Discovery + expert graph expansion</x:v>
      </x:c>
      <x:c r="I18" s="20" t="str">
        <x:v>Popularity is not authority; replies can be manipulated</x:v>
      </x:c>
      <x:c r="J18" s="20" t="str">
        <x:v>Replies from paper authors, maintainers, reviewers</x:v>
      </x:c>
    </x:row>
    <x:row r="19" ht="50" customHeight="1">
      <x:c r="A19" s="20" t="str">
        <x:v>B — early social</x:v>
      </x:c>
      <x:c r="B19" s="20" t="str">
        <x:v>X quote-posts</x:v>
      </x:c>
      <x:c r="C19" s="20" t="str">
        <x:v>Seconds–days</x:v>
      </x:c>
      <x:c r="D19" s="20" t="str">
        <x:v>Medium</x:v>
      </x:c>
      <x:c r="E19" s="20" t="str">
        <x:v>Independent critique, replications, competing interpretations</x:v>
      </x:c>
      <x:c r="F19" s="20" t="str">
        <x:v>quotes_of_tweet_id or X thread tools</x:v>
      </x:c>
      <x:c r="G19" s="20" t="str">
        <x:v>At 2h/12h/48h after major posts</x:v>
      </x:c>
      <x:c r="H19" s="20" t="str">
        <x:v>Counter-evidence discovery</x:v>
      </x:c>
      <x:c r="I19" s="20" t="str">
        <x:v>Engagement farming and decontextualization</x:v>
      </x:c>
      <x:c r="J19" s="20" t="str">
        <x:v>Quote-posts with code, benchmarks or concrete counterexamples</x:v>
      </x:c>
    </x:row>
    <x:row r="20" ht="50" customHeight="1">
      <x:c r="A20" s="20" t="str">
        <x:v>B — organizational</x:v>
      </x:c>
      <x:c r="B20" s="20" t="str">
        <x:v>Hiring pages and technical job descriptions</x:v>
      </x:c>
      <x:c r="C20" s="20" t="str">
        <x:v>Days–weeks</x:v>
      </x:c>
      <x:c r="D20" s="20" t="str">
        <x:v>Medium</x:v>
      </x:c>
      <x:c r="E20" s="20" t="str">
        <x:v>Likely investment areas, stack choices, internal capability gaps</x:v>
      </x:c>
      <x:c r="F20" s="20" t="str">
        <x:v>Web diff</x:v>
      </x:c>
      <x:c r="G20" s="20" t="str">
        <x:v>Weekly</x:v>
      </x:c>
      <x:c r="H20" s="20" t="str">
        <x:v>Strategic direction signal</x:v>
      </x:c>
      <x:c r="I20" s="20" t="str">
        <x:v>Roles may be exploratory or stale</x:v>
      </x:c>
      <x:c r="J20" s="20" t="str">
        <x:v>Agent runtime, memory, evals, safety, inference teams</x:v>
      </x:c>
    </x:row>
    <x:row r="21" ht="50" customHeight="1">
      <x:c r="A21" s="20" t="str">
        <x:v>C — community</x:v>
      </x:c>
      <x:c r="B21" s="20" t="str">
        <x:v>Private Discord/Slack/forums</x:v>
      </x:c>
      <x:c r="C21" s="20" t="str">
        <x:v>Seconds–days</x:v>
      </x:c>
      <x:c r="D21" s="20" t="str">
        <x:v>Variable</x:v>
      </x:c>
      <x:c r="E21" s="20" t="str">
        <x:v>Maintainer answers, user failures, undocumented behavior</x:v>
      </x:c>
      <x:c r="F21" s="20" t="str">
        <x:v>Approved bots/export; respect rules</x:v>
      </x:c>
      <x:c r="G21" s="20" t="str">
        <x:v>Daily where permitted</x:v>
      </x:c>
      <x:c r="H21" s="20" t="str">
        <x:v>Discovery and support intelligence</x:v>
      </x:c>
      <x:c r="I21" s="20" t="str">
        <x:v>Access, privacy, terms and retention constraints</x:v>
      </x:c>
      <x:c r="J21" s="20" t="str">
        <x:v>Framework communities and research groups</x:v>
      </x:c>
    </x:row>
    <x:row r="22" ht="50" customHeight="1">
      <x:c r="A22" s="20" t="str">
        <x:v>C — synthesis</x:v>
      </x:c>
      <x:c r="B22" s="20" t="str">
        <x:v>Technical newsletters and podcasts</x:v>
      </x:c>
      <x:c r="C22" s="20" t="str">
        <x:v>Days–weeks</x:v>
      </x:c>
      <x:c r="D22" s="20" t="str">
        <x:v>Medium–high for selected editors</x:v>
      </x:c>
      <x:c r="E22" s="20" t="str">
        <x:v>Cross-source synthesis, interviews, names to follow</x:v>
      </x:c>
      <x:c r="F22" s="20" t="str">
        <x:v>RSS/podcast feed + transcript</x:v>
      </x:c>
      <x:c r="G22" s="20" t="str">
        <x:v>On publication</x:v>
      </x:c>
      <x:c r="H22" s="20" t="str">
        <x:v>Prioritization and discovery</x:v>
      </x:c>
      <x:c r="I22" s="20" t="str">
        <x:v>Lag; editorial bias; verify claims</x:v>
      </x:c>
      <x:c r="J22" s="20" t="str">
        <x:v>Latent Space, Interconnects, Import AI, The Batch</x:v>
      </x:c>
    </x:row>
    <x:row r="23" ht="50" customHeight="1">
      <x:c r="A23" s="20" t="str">
        <x:v>C — broad discussion</x:v>
      </x:c>
      <x:c r="B23" s="20" t="str">
        <x:v>Hacker News / Reddit / YouTube</x:v>
      </x:c>
      <x:c r="C23" s="20" t="str">
        <x:v>Hours–weeks</x:v>
      </x:c>
      <x:c r="D23" s="20" t="str">
        <x:v>Low–medium</x:v>
      </x:c>
      <x:c r="E23" s="20" t="str">
        <x:v>User pain, unexpected use cases, broad reactions, tutorials</x:v>
      </x:c>
      <x:c r="F23" s="20" t="str">
        <x:v>RSS/API/search</x:v>
      </x:c>
      <x:c r="G23" s="20" t="str">
        <x:v>Daily–weekly</x:v>
      </x:c>
      <x:c r="H23" s="20" t="str">
        <x:v>Discovery only</x:v>
      </x:c>
      <x:c r="I23" s="20" t="str">
        <x:v>Noise, unverifiable claims, delayed coverage</x:v>
      </x:c>
      <x:c r="J23" s="20" t="str">
        <x:v>Use only when linked to primary artifacts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833408f8fd74c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  <x:col min="3" max="3" width="46" hidden="0" customWidth="1"/>
    <x:col min="4" max="4" width="54" hidden="0" customWidth="1"/>
  </x:cols>
  <x:sheetData>
    <x:row r="1" ht="30" customHeight="1">
      <x:c r="A1" s="5" t="str">
        <x:v>X / Grok intelligence playbook: queries, reply mining and verification</x:v>
      </x:c>
      <x:c r="B1" s="5"/>
      <x:c r="C1" s="5"/>
      <x:c r="D1" s="5"/>
    </x:row>
    <x:row r="3">
      <x:c r="A3" s="13" t="str">
        <x:v>Query / operation</x:v>
      </x:c>
      <x:c r="B3" s="13" t="str">
        <x:v>Template</x:v>
      </x:c>
      <x:c r="C3" s="13" t="str">
        <x:v>Purpose</x:v>
      </x:c>
      <x:c r="D3" s="13" t="str">
        <x:v>Required downstream handling</x:v>
      </x:c>
    </x:row>
    <x:row r="4" ht="64" customHeight="1">
      <x:c r="A4" s="20" t="str">
        <x:v>Primary-artifact discovery</x:v>
      </x:c>
      <x:c r="B4" s="20" t="str">
        <x:v>("agent memory" OR "context compaction" OR "long-running agent") (url:github.com OR url:arxiv.org) -is:retweet lang:en</x:v>
      </x:c>
      <x:c r="C4" s="20" t="str">
        <x:v>Find posts that link code or papers instead of pure commentary.</x:v>
      </x:c>
      <x:c r="D4" s="20" t="str">
        <x:v>Resolve linked artifact; verify author and publication date.</x:v>
      </x:c>
    </x:row>
    <x:row r="5" ht="64" customHeight="1">
      <x:c r="A5" s="20" t="str">
        <x:v>Full reply tree</x:v>
      </x:c>
      <x:c r="B5" s="20" t="str">
        <x:v>conversation_id:&lt;ROOT_POST_ID&gt;</x:v>
      </x:c>
      <x:c r="C5" s="20" t="str">
        <x:v>Reconstruct all replies under a high-value root post.</x:v>
      </x:c>
      <x:c r="D5" s="20" t="str">
        <x:v>Expand author IDs; score replies; preserve parent-child structure.</x:v>
      </x:c>
    </x:row>
    <x:row r="6" ht="64" customHeight="1">
      <x:c r="A6" s="20" t="str">
        <x:v>Direct replies only</x:v>
      </x:c>
      <x:c r="B6" s="20" t="str">
        <x:v>in_reply_to_tweet_id:&lt;ROOT_POST_ID&gt;</x:v>
      </x:c>
      <x:c r="C6" s="20" t="str">
        <x:v>Capture immediate replies to the root, often where authors answer questions.</x:v>
      </x:c>
      <x:c r="D6" s="20" t="str">
        <x:v>Prioritize replies from co-authors, maintainers and known practitioners.</x:v>
      </x:c>
    </x:row>
    <x:row r="7" ht="64" customHeight="1">
      <x:c r="A7" s="20" t="str">
        <x:v>Quote-post critique</x:v>
      </x:c>
      <x:c r="B7" s="20" t="str">
        <x:v>quotes_of_tweet_id:&lt;ROOT_POST_ID&gt;</x:v>
      </x:c>
      <x:c r="C7" s="20" t="str">
        <x:v>Find independent replications, objections and alternative implementations.</x:v>
      </x:c>
      <x:c r="D7" s="20" t="str">
        <x:v>Require linked evidence before raising confidence.</x:v>
      </x:c>
    </x:row>
    <x:row r="8" ht="64" customHeight="1">
      <x:c r="A8" s="20" t="str">
        <x:v>Seed-account monitoring</x:v>
      </x:c>
      <x:c r="B8" s="20" t="str">
        <x:v>(from:&lt;HANDLE1&gt; OR from:&lt;HANDLE2&gt;) ("agent" OR "memory" OR "MCP" OR "eval" OR "sandbox") -is:retweet</x:v>
      </x:c>
      <x:c r="C8" s="20" t="str">
        <x:v>Monitor a curated account cluster without relying on the home timeline.</x:v>
      </x:c>
      <x:c r="D8" s="20" t="str">
        <x:v>Resolve handles to stable user IDs; refresh identities monthly.</x:v>
      </x:c>
    </x:row>
    <x:row r="9" ht="64" customHeight="1">
      <x:c r="A9" s="20" t="str">
        <x:v>Production-language replies</x:v>
      </x:c>
      <x:c r="B9" s="20" t="str">
        <x:v>("we tried" OR "in production" OR "failure mode" OR "broke" OR "latency" OR "token budget") ("agent" OR "tool use" OR "MCP") is:reply -is:retweet</x:v>
      </x:c>
      <x:c r="C9" s="20" t="str">
        <x:v>Surface practitioners describing real failures or constraints.</x:v>
      </x:c>
      <x:c r="D9" s="20" t="str">
        <x:v>Check employer/project identity; look for logs, code, issue links.</x:v>
      </x:c>
    </x:row>
    <x:row r="10" ht="64" customHeight="1">
      <x:c r="A10" s="20" t="str">
        <x:v>Reproduction / ablation</x:v>
      </x:c>
      <x:c r="B10" s="20" t="str">
        <x:v>("repro" OR "replicated" OR "ablation" OR "benchmark") ("agent" OR "memory" OR "multi-agent") (url:github.com OR url:arxiv.org)</x:v>
      </x:c>
      <x:c r="C10" s="20" t="str">
        <x:v>Find empirical confirmations or disconfirmations.</x:v>
      </x:c>
      <x:c r="D10" s="20" t="str">
        <x:v>Compare setup, model version, task distribution and evaluator.</x:v>
      </x:c>
    </x:row>
    <x:row r="11" ht="64" customHeight="1">
      <x:c r="A11" s="20" t="str">
        <x:v>Framework release</x:v>
      </x:c>
      <x:c r="B11" s="20" t="str">
        <x:v>("&lt;PROJECT_NAME&gt;" OR "&lt;PACKAGE_NAME&gt;") ("release" OR "v1." OR "breaking change" OR "migration") -is:retweet</x:v>
      </x:c>
      <x:c r="C11" s="20" t="str">
        <x:v>Catch unofficial commentary around a release.</x:v>
      </x:c>
      <x:c r="D11" s="20" t="str">
        <x:v>Official release remains source of truth; social posts add context.</x:v>
      </x:c>
    </x:row>
    <x:row r="12" ht="64" customHeight="1">
      <x:c r="A12" s="20" t="str">
        <x:v>Maintainer replies</x:v>
      </x:c>
      <x:c r="B12" s="20" t="str">
        <x:v>(from:&lt;MAINTAINER_HANDLE&gt;) is:reply ("why" OR "trade-off" OR "design" OR "deprecated" OR "security")</x:v>
      </x:c>
      <x:c r="C12" s="20" t="str">
        <x:v>Mine the maintainer's replies, where design rationale is often less polished.</x:v>
      </x:c>
      <x:c r="D12" s="20" t="str">
        <x:v>Link every reply to its parent conversation and related PR/issue.</x:v>
      </x:c>
    </x:row>
    <x:row r="13" ht="64" customHeight="1">
      <x:c r="A13" s="20" t="str">
        <x:v>Disagreement search</x:v>
      </x:c>
      <x:c r="B13" s="20" t="str">
        <x:v>("I disagree" OR "not true" OR "misleading" OR "doesn't work") ("agent" OR "context" OR "memory") is:reply</x:v>
      </x:c>
      <x:c r="C13" s="20" t="str">
        <x:v>Find counterarguments and weak points early.</x:v>
      </x:c>
      <x:c r="D13" s="20" t="str">
        <x:v>Score only if the responder has relevant evidence or expertise.</x:v>
      </x:c>
    </x:row>
    <x:row r="14" ht="64" customHeight="1">
      <x:c r="A14" s="20" t="str">
        <x:v>Date-bounded topic</x:v>
      </x:c>
      <x:c r="B14" s="20" t="str">
        <x:v>("AI agent" OR "coding agent") after:2026-07-01 before:2026-08-01 lang:en</x:v>
      </x:c>
      <x:c r="C14" s="20" t="str">
        <x:v>Build a reproducible monthly collection window.</x:v>
      </x:c>
      <x:c r="D14" s="20" t="str">
        <x:v>Store query, run time and result IDs for auditability.</x:v>
      </x:c>
    </x:row>
    <x:row r="15" ht="64" customHeight="1">
      <x:c r="A15" s="20" t="str">
        <x:v>User graph expansion</x:v>
      </x:c>
      <x:c r="B15" s="20" t="str">
        <x:v>to:&lt;SEED_HANDLE&gt; ("paper" OR "repo" OR "PR" OR "issue" OR "we built") -is:retweet</x:v>
      </x:c>
      <x:c r="C15" s="20" t="str">
        <x:v>Discover knowledgeable repeat repliers around a seed account.</x:v>
      </x:c>
      <x:c r="D15" s="20" t="str">
        <x:v>Promote accounts only after repeated high-signal contributions.</x:v>
      </x:c>
    </x:row>
    <x:row r="18">
      <x:c r="A18" s="13" t="str">
        <x:v>Step</x:v>
      </x:c>
      <x:c r="B18" s="13" t="str">
        <x:v>Operation</x:v>
      </x:c>
      <x:c r="C18" s="13" t="str">
        <x:v>Output</x:v>
      </x:c>
      <x:c r="D18" s="13" t="str">
        <x:v>Control</x:v>
      </x:c>
    </x:row>
    <x:row r="19" ht="52" customHeight="1">
      <x:c r="A19" s="20" t="n">
        <x:v>1</x:v>
      </x:c>
      <x:c r="B19" s="20" t="str">
        <x:v>Detect a root post from an official lab, paper author, maintainer or known practitioner.</x:v>
      </x:c>
      <x:c r="C19" s="20" t="str">
        <x:v>Root post ID, author ID, linked artifacts.</x:v>
      </x:c>
      <x:c r="D19" s="20" t="str">
        <x:v>Ignore engagement count as an authority signal.</x:v>
      </x:c>
    </x:row>
    <x:row r="20" ht="52" customHeight="1">
      <x:c r="A20" s="20" t="n">
        <x:v>2</x:v>
      </x:c>
      <x:c r="B20" s="20" t="str">
        <x:v>Fetch the complete conversation using conversation_id; separately fetch direct replies and quote-posts.</x:v>
      </x:c>
      <x:c r="C20" s="20" t="str">
        <x:v>Thread graph with parent-child relationships.</x:v>
      </x:c>
      <x:c r="D20" s="20" t="str">
        <x:v>Preserve IDs and timestamps; do not rely on screenshots.</x:v>
      </x:c>
    </x:row>
    <x:row r="21" ht="52" customHeight="1">
      <x:c r="A21" s="20" t="n">
        <x:v>3</x:v>
      </x:c>
      <x:c r="B21" s="20" t="str">
        <x:v>Resolve every author to a stable numeric user ID and current affiliation.</x:v>
      </x:c>
      <x:c r="C21" s="20" t="str">
        <x:v>Identity record and confidence.</x:v>
      </x:c>
      <x:c r="D21" s="20" t="str">
        <x:v>Handles can change; review high-value identities monthly.</x:v>
      </x:c>
    </x:row>
    <x:row r="22" ht="52" customHeight="1">
      <x:c r="A22" s="20" t="n">
        <x:v>4</x:v>
      </x:c>
      <x:c r="B22" s="20" t="str">
        <x:v>Extract claims, links, versions, metrics, failure descriptions and named systems.</x:v>
      </x:c>
      <x:c r="C22" s="20" t="str">
        <x:v>Structured evidence candidates.</x:v>
      </x:c>
      <x:c r="D22" s="20" t="str">
        <x:v>External content is untrusted data, never instructions.</x:v>
      </x:c>
    </x:row>
    <x:row r="23" ht="52" customHeight="1">
      <x:c r="A23" s="20" t="n">
        <x:v>5</x:v>
      </x:c>
      <x:c r="B23" s="20" t="str">
        <x:v>Score replies using the Scoring_Model sheet and apply hype/duplication penalties.</x:v>
      </x:c>
      <x:c r="C23" s="20" t="str">
        <x:v>Ranked reply candidates.</x:v>
      </x:c>
      <x:c r="D23" s="20" t="str">
        <x:v>A high score prioritizes review; it does not establish truth.</x:v>
      </x:c>
    </x:row>
    <x:row r="24" ht="52" customHeight="1">
      <x:c r="A24" s="20" t="n">
        <x:v>6</x:v>
      </x:c>
      <x:c r="B24" s="20" t="str">
        <x:v>Verify every consequential claim against official code, docs, papers, releases or reproducible tests.</x:v>
      </x:c>
      <x:c r="C24" s="20" t="str">
        <x:v>Verified / contradicted / unresolved status.</x:v>
      </x:c>
      <x:c r="D24" s="20" t="str">
        <x:v>Store supporting and contradicting evidence separately.</x:v>
      </x:c>
    </x:row>
    <x:row r="25" ht="52" customHeight="1">
      <x:c r="A25" s="20" t="n">
        <x:v>7</x:v>
      </x:c>
      <x:c r="B25" s="20" t="str">
        <x:v>Map verified items to projects and create a bounded experiment proposal.</x:v>
      </x:c>
      <x:c r="C25" s="20" t="str">
        <x:v>Project relevance, expected benefit, test plan.</x:v>
      </x:c>
      <x:c r="D25" s="20" t="str">
        <x:v>No direct code change from social content.</x:v>
      </x:c>
    </x:row>
    <x:row r="26" ht="52" customHeight="1">
      <x:c r="A26" s="20" t="n">
        <x:v>8</x:v>
      </x:c>
      <x:c r="B26" s="20" t="str">
        <x:v>Revisit major threads after 6, 24 and 72 hours.</x:v>
      </x:c>
      <x:c r="C26" s="20" t="str">
        <x:v>Late clarifications, corrections and replications.</x:v>
      </x:c>
      <x:c r="D26" s="20" t="str">
        <x:v>Update records; do not overwrite the original snapshot.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2a50802e95a41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10" hidden="0" customWidth="1"/>
    <x:col min="4" max="4" width="42" hidden="0" customWidth="1"/>
    <x:col min="5" max="5" width="54" hidden="0" customWidth="1"/>
    <x:col min="6" max="6" width="22" hidden="0" customWidth="1"/>
    <x:col min="7" max="7" width="18" hidden="0" customWidth="1"/>
  </x:cols>
  <x:sheetData>
    <x:row r="1" ht="30" customHeight="1">
      <x:c r="A1" s="5" t="str">
        <x:v>Initial source registry — primary artifacts first, synthesis second</x:v>
      </x:c>
      <x:c r="B1" s="5"/>
      <x:c r="C1" s="5"/>
      <x:c r="D1" s="5"/>
      <x:c r="E1" s="5"/>
      <x:c r="F1" s="5"/>
      <x:c r="G1" s="5"/>
    </x:row>
    <x:row r="3">
      <x:c r="A3" s="13" t="str">
        <x:v>Source</x:v>
      </x:c>
      <x:c r="B3" s="13" t="str">
        <x:v>Type</x:v>
      </x:c>
      <x:c r="C3" s="13" t="str">
        <x:v>Tier</x:v>
      </x:c>
      <x:c r="D3" s="13" t="str">
        <x:v>Topics</x:v>
      </x:c>
      <x:c r="E3" s="13" t="str">
        <x:v>URL</x:v>
      </x:c>
      <x:c r="F3" s="13" t="str">
        <x:v>Polling method</x:v>
      </x:c>
      <x:c r="G3" s="13" t="str">
        <x:v>Cadence</x:v>
      </x:c>
    </x:row>
    <x:row r="4" ht="42" customHeight="1">
      <x:c r="A4" s="20" t="str">
        <x:v>OpenAI Engineering &amp; Research</x:v>
      </x:c>
      <x:c r="B4" s="20" t="str">
        <x:v>Official engineering/research</x:v>
      </x:c>
      <x:c r="C4" s="20" t="str">
        <x:v>A</x:v>
      </x:c>
      <x:c r="D4" s="20" t="str">
        <x:v>Codex, agents, evals, models</x:v>
      </x:c>
      <x:c r="E4" s="32" t="str">
        <x:v>https://openai.com/research/</x:v>
      </x:c>
      <x:c r="F4" s="20" t="str">
        <x:v>RSS/site diff</x:v>
      </x:c>
      <x:c r="G4" s="20" t="str">
        <x:v>Daily</x:v>
      </x:c>
    </x:row>
    <x:row r="5" ht="42" customHeight="1">
      <x:c r="A5" s="20" t="str">
        <x:v>OpenAI Codex GitHub</x:v>
      </x:c>
      <x:c r="B5" s="20" t="str">
        <x:v>Repository</x:v>
      </x:c>
      <x:c r="C5" s="20" t="str">
        <x:v>A</x:v>
      </x:c>
      <x:c r="D5" s="20" t="str">
        <x:v>Codex harness, sandbox, compaction, app server</x:v>
      </x:c>
      <x:c r="E5" s="32" t="str">
        <x:v>https://github.com/openai/codex</x:v>
      </x:c>
      <x:c r="F5" s="20" t="str">
        <x:v>GitHub API / Atom</x:v>
      </x:c>
      <x:c r="G5" s="20" t="str">
        <x:v>Hourly</x:v>
      </x:c>
    </x:row>
    <x:row r="6" ht="42" customHeight="1">
      <x:c r="A6" s="20" t="str">
        <x:v>Anthropic Engineering</x:v>
      </x:c>
      <x:c r="B6" s="20" t="str">
        <x:v>Official engineering</x:v>
      </x:c>
      <x:c r="C6" s="20" t="str">
        <x:v>A/B</x:v>
      </x:c>
      <x:c r="D6" s="20" t="str">
        <x:v>Claude Code, context engineering, tools, MCP</x:v>
      </x:c>
      <x:c r="E6" s="32" t="str">
        <x:v>https://www.anthropic.com/engineering</x:v>
      </x:c>
      <x:c r="F6" s="20" t="str">
        <x:v>RSS/site diff</x:v>
      </x:c>
      <x:c r="G6" s="20" t="str">
        <x:v>Daily</x:v>
      </x:c>
    </x:row>
    <x:row r="7" ht="42" customHeight="1">
      <x:c r="A7" s="20" t="str">
        <x:v>Anthropic Research</x:v>
      </x:c>
      <x:c r="B7" s="20" t="str">
        <x:v>Official research</x:v>
      </x:c>
      <x:c r="C7" s="20" t="str">
        <x:v>A</x:v>
      </x:c>
      <x:c r="D7" s="20" t="str">
        <x:v>agents, safety, model behavior, evaluations</x:v>
      </x:c>
      <x:c r="E7" s="32" t="str">
        <x:v>https://www.anthropic.com/research</x:v>
      </x:c>
      <x:c r="F7" s="20" t="str">
        <x:v>RSS/site diff</x:v>
      </x:c>
      <x:c r="G7" s="20" t="str">
        <x:v>Daily</x:v>
      </x:c>
    </x:row>
    <x:row r="8" ht="42" customHeight="1">
      <x:c r="A8" s="20" t="str">
        <x:v>Model Context Protocol</x:v>
      </x:c>
      <x:c r="B8" s="20" t="str">
        <x:v>Protocol repositories/spec</x:v>
      </x:c>
      <x:c r="C8" s="20" t="str">
        <x:v>A</x:v>
      </x:c>
      <x:c r="D8" s="20" t="str">
        <x:v>tool interoperability, permissions, schemas</x:v>
      </x:c>
      <x:c r="E8" s="32" t="str">
        <x:v>https://github.com/modelcontextprotocol</x:v>
      </x:c>
      <x:c r="F8" s="20" t="str">
        <x:v>GitHub API</x:v>
      </x:c>
      <x:c r="G8" s="20" t="str">
        <x:v>Daily</x:v>
      </x:c>
    </x:row>
    <x:row r="9" ht="42" customHeight="1">
      <x:c r="A9" s="20" t="str">
        <x:v>Google Research</x:v>
      </x:c>
      <x:c r="B9" s="20" t="str">
        <x:v>Official research</x:v>
      </x:c>
      <x:c r="C9" s="20" t="str">
        <x:v>A/B</x:v>
      </x:c>
      <x:c r="D9" s="20" t="str">
        <x:v>multi-agent systems, scaling, evaluation</x:v>
      </x:c>
      <x:c r="E9" s="32" t="str">
        <x:v>https://research.google/blog/</x:v>
      </x:c>
      <x:c r="F9" s="20" t="str">
        <x:v>RSS/site diff</x:v>
      </x:c>
      <x:c r="G9" s="20" t="str">
        <x:v>Daily</x:v>
      </x:c>
    </x:row>
    <x:row r="10" ht="42" customHeight="1">
      <x:c r="A10" s="20" t="str">
        <x:v>Google Developers Blog</x:v>
      </x:c>
      <x:c r="B10" s="20" t="str">
        <x:v>Official engineering</x:v>
      </x:c>
      <x:c r="C10" s="20" t="str">
        <x:v>A/B</x:v>
      </x:c>
      <x:c r="D10" s="20" t="str">
        <x:v>Gemini CLI, ADK, extensions, hooks</x:v>
      </x:c>
      <x:c r="E10" s="32" t="str">
        <x:v>https://developers.googleblog.com/</x:v>
      </x:c>
      <x:c r="F10" s="20" t="str">
        <x:v>RSS</x:v>
      </x:c>
      <x:c r="G10" s="20" t="str">
        <x:v>Daily</x:v>
      </x:c>
    </x:row>
    <x:row r="11" ht="42" customHeight="1">
      <x:c r="A11" s="20" t="str">
        <x:v>Gemini CLI GitHub</x:v>
      </x:c>
      <x:c r="B11" s="20" t="str">
        <x:v>Repository</x:v>
      </x:c>
      <x:c r="C11" s="20" t="str">
        <x:v>A</x:v>
      </x:c>
      <x:c r="D11" s="20" t="str">
        <x:v>coding agent, hooks, extensions</x:v>
      </x:c>
      <x:c r="E11" s="32" t="str">
        <x:v>https://github.com/google-gemini/gemini-cli</x:v>
      </x:c>
      <x:c r="F11" s="20" t="str">
        <x:v>GitHub API / Atom</x:v>
      </x:c>
      <x:c r="G11" s="20" t="str">
        <x:v>Hourly</x:v>
      </x:c>
    </x:row>
    <x:row r="12" ht="42" customHeight="1">
      <x:c r="A12" s="20" t="str">
        <x:v>Google ADK Python</x:v>
      </x:c>
      <x:c r="B12" s="20" t="str">
        <x:v>Repository</x:v>
      </x:c>
      <x:c r="C12" s="20" t="str">
        <x:v>A</x:v>
      </x:c>
      <x:c r="D12" s="20" t="str">
        <x:v>agent development kit, orchestration, protocols</x:v>
      </x:c>
      <x:c r="E12" s="32" t="str">
        <x:v>https://github.com/google/adk-python</x:v>
      </x:c>
      <x:c r="F12" s="20" t="str">
        <x:v>GitHub API</x:v>
      </x:c>
      <x:c r="G12" s="20" t="str">
        <x:v>Daily</x:v>
      </x:c>
    </x:row>
    <x:row r="13" ht="42" customHeight="1">
      <x:c r="A13" s="20" t="str">
        <x:v>Meta AI Research</x:v>
      </x:c>
      <x:c r="B13" s="20" t="str">
        <x:v>Official research</x:v>
      </x:c>
      <x:c r="C13" s="20" t="str">
        <x:v>A/B</x:v>
      </x:c>
      <x:c r="D13" s="20" t="str">
        <x:v>agent environments, research agents, evaluation</x:v>
      </x:c>
      <x:c r="E13" s="32" t="str">
        <x:v>https://ai.meta.com/research/</x:v>
      </x:c>
      <x:c r="F13" s="20" t="str">
        <x:v>RSS/site diff</x:v>
      </x:c>
      <x:c r="G13" s="20" t="str">
        <x:v>Daily</x:v>
      </x:c>
    </x:row>
    <x:row r="14" ht="42" customHeight="1">
      <x:c r="A14" s="20" t="str">
        <x:v>Thinking Machines Connectionism</x:v>
      </x:c>
      <x:c r="B14" s="20" t="str">
        <x:v>Official technical blog</x:v>
      </x:c>
      <x:c r="C14" s="20" t="str">
        <x:v>A/B</x:v>
      </x:c>
      <x:c r="D14" s="20" t="str">
        <x:v>post-training, collaboration, model systems</x:v>
      </x:c>
      <x:c r="E14" s="32" t="str">
        <x:v>https://thinkingmachines.ai/blog/</x:v>
      </x:c>
      <x:c r="F14" s="20" t="str">
        <x:v>Site diff</x:v>
      </x:c>
      <x:c r="G14" s="20" t="str">
        <x:v>Daily</x:v>
      </x:c>
    </x:row>
    <x:row r="15" ht="42" customHeight="1">
      <x:c r="A15" s="20" t="str">
        <x:v>Mistral News</x:v>
      </x:c>
      <x:c r="B15" s="20" t="str">
        <x:v>Official releases</x:v>
      </x:c>
      <x:c r="C15" s="20" t="str">
        <x:v>A</x:v>
      </x:c>
      <x:c r="D15" s="20" t="str">
        <x:v>open models, APIs, local deployment</x:v>
      </x:c>
      <x:c r="E15" s="32" t="str">
        <x:v>https://mistral.ai/news/</x:v>
      </x:c>
      <x:c r="F15" s="20" t="str">
        <x:v>RSS/site diff</x:v>
      </x:c>
      <x:c r="G15" s="20" t="str">
        <x:v>Daily</x:v>
      </x:c>
    </x:row>
    <x:row r="16" ht="42" customHeight="1">
      <x:c r="A16" s="20" t="str">
        <x:v>Cohere Research</x:v>
      </x:c>
      <x:c r="B16" s="20" t="str">
        <x:v>Official research</x:v>
      </x:c>
      <x:c r="C16" s="20" t="str">
        <x:v>A/B</x:v>
      </x:c>
      <x:c r="D16" s="20" t="str">
        <x:v>enterprise AI, multilingual models, research</x:v>
      </x:c>
      <x:c r="E16" s="32" t="str">
        <x:v>https://cohere.com/research</x:v>
      </x:c>
      <x:c r="F16" s="20" t="str">
        <x:v>RSS/site diff</x:v>
      </x:c>
      <x:c r="G16" s="20" t="str">
        <x:v>Weekly</x:v>
      </x:c>
    </x:row>
    <x:row r="17" ht="42" customHeight="1">
      <x:c r="A17" s="20" t="str">
        <x:v>Hugging Face Papers</x:v>
      </x:c>
      <x:c r="B17" s="20" t="str">
        <x:v>Paper discovery</x:v>
      </x:c>
      <x:c r="C17" s="20" t="str">
        <x:v>A/B</x:v>
      </x:c>
      <x:c r="D17" s="20" t="str">
        <x:v>daily papers, models, datasets, code</x:v>
      </x:c>
      <x:c r="E17" s="32" t="str">
        <x:v>https://huggingface.co/papers</x:v>
      </x:c>
      <x:c r="F17" s="20" t="str">
        <x:v>RSS/API</x:v>
      </x:c>
      <x:c r="G17" s="20" t="str">
        <x:v>Daily</x:v>
      </x:c>
    </x:row>
    <x:row r="18" ht="42" customHeight="1">
      <x:c r="A18" s="20" t="str">
        <x:v>Hugging Face Changelog</x:v>
      </x:c>
      <x:c r="B18" s="20" t="str">
        <x:v>Official product changelog</x:v>
      </x:c>
      <x:c r="C18" s="20" t="str">
        <x:v>A</x:v>
      </x:c>
      <x:c r="D18" s="20" t="str">
        <x:v>Hub, libraries, inference, agents</x:v>
      </x:c>
      <x:c r="E18" s="32" t="str">
        <x:v>https://huggingface.co/changelog</x:v>
      </x:c>
      <x:c r="F18" s="20" t="str">
        <x:v>RSS/site diff</x:v>
      </x:c>
      <x:c r="G18" s="20" t="str">
        <x:v>Daily</x:v>
      </x:c>
    </x:row>
    <x:row r="19" ht="42" customHeight="1">
      <x:c r="A19" s="20" t="str">
        <x:v>NVIDIA GEAR</x:v>
      </x:c>
      <x:c r="B19" s="20" t="str">
        <x:v>Research lab</x:v>
      </x:c>
      <x:c r="C19" s="20" t="str">
        <x:v>A/B</x:v>
      </x:c>
      <x:c r="D19" s="20" t="str">
        <x:v>embodied agents, robotics, world models</x:v>
      </x:c>
      <x:c r="E19" s="32" t="str">
        <x:v>https://research.nvidia.com/labs/gear/</x:v>
      </x:c>
      <x:c r="F19" s="20" t="str">
        <x:v>Site diff</x:v>
      </x:c>
      <x:c r="G19" s="20" t="str">
        <x:v>Weekly</x:v>
      </x:c>
    </x:row>
    <x:row r="20" ht="42" customHeight="1">
      <x:c r="A20" s="20" t="str">
        <x:v>arXiv cs.AI recent</x:v>
      </x:c>
      <x:c r="B20" s="20" t="str">
        <x:v>Preprints</x:v>
      </x:c>
      <x:c r="C20" s="20" t="str">
        <x:v>A</x:v>
      </x:c>
      <x:c r="D20" s="20" t="str">
        <x:v>agents, planning, evaluation</x:v>
      </x:c>
      <x:c r="E20" s="32" t="str">
        <x:v>https://arxiv.org/list/cs.AI/recent</x:v>
      </x:c>
      <x:c r="F20" s="20" t="str">
        <x:v>RSS</x:v>
      </x:c>
      <x:c r="G20" s="20" t="str">
        <x:v>Daily</x:v>
      </x:c>
    </x:row>
    <x:row r="21" ht="42" customHeight="1">
      <x:c r="A21" s="20" t="str">
        <x:v>arXiv cs.CL recent</x:v>
      </x:c>
      <x:c r="B21" s="20" t="str">
        <x:v>Preprints</x:v>
      </x:c>
      <x:c r="C21" s="20" t="str">
        <x:v>A</x:v>
      </x:c>
      <x:c r="D21" s="20" t="str">
        <x:v>language agents, retrieval, tool use</x:v>
      </x:c>
      <x:c r="E21" s="32" t="str">
        <x:v>https://arxiv.org/list/cs.CL/recent</x:v>
      </x:c>
      <x:c r="F21" s="20" t="str">
        <x:v>RSS</x:v>
      </x:c>
      <x:c r="G21" s="20" t="str">
        <x:v>Daily</x:v>
      </x:c>
    </x:row>
    <x:row r="22" ht="42" customHeight="1">
      <x:c r="A22" s="20" t="str">
        <x:v>arXiv cs.LG recent</x:v>
      </x:c>
      <x:c r="B22" s="20" t="str">
        <x:v>Preprints</x:v>
      </x:c>
      <x:c r="C22" s="20" t="str">
        <x:v>A</x:v>
      </x:c>
      <x:c r="D22" s="20" t="str">
        <x:v>learning, optimization, multi-agent systems</x:v>
      </x:c>
      <x:c r="E22" s="32" t="str">
        <x:v>https://arxiv.org/list/cs.LG/recent</x:v>
      </x:c>
      <x:c r="F22" s="20" t="str">
        <x:v>RSS</x:v>
      </x:c>
      <x:c r="G22" s="20" t="str">
        <x:v>Daily</x:v>
      </x:c>
    </x:row>
    <x:row r="23" ht="42" customHeight="1">
      <x:c r="A23" s="20" t="str">
        <x:v>OpenReview ICLR</x:v>
      </x:c>
      <x:c r="B23" s="20" t="str">
        <x:v>Peer-review platform</x:v>
      </x:c>
      <x:c r="C23" s="20" t="str">
        <x:v>A</x:v>
      </x:c>
      <x:c r="D23" s="20" t="str">
        <x:v>papers, reviews, rebuttals, workshops</x:v>
      </x:c>
      <x:c r="E23" s="32" t="str">
        <x:v>https://openreview.net/group?id=ICLR.cc</x:v>
      </x:c>
      <x:c r="F23" s="20" t="str">
        <x:v>API</x:v>
      </x:c>
      <x:c r="G23" s="20" t="str">
        <x:v>Daily in season</x:v>
      </x:c>
    </x:row>
    <x:row r="24" ht="42" customHeight="1">
      <x:c r="A24" s="20" t="str">
        <x:v>ACL Anthology</x:v>
      </x:c>
      <x:c r="B24" s="20" t="str">
        <x:v>Proceedings</x:v>
      </x:c>
      <x:c r="C24" s="20" t="str">
        <x:v>A</x:v>
      </x:c>
      <x:c r="D24" s="20" t="str">
        <x:v>NLP agents, retrieval, evaluation</x:v>
      </x:c>
      <x:c r="E24" s="32" t="str">
        <x:v>https://aclanthology.org/</x:v>
      </x:c>
      <x:c r="F24" s="20" t="str">
        <x:v>RSS/index diff</x:v>
      </x:c>
      <x:c r="G24" s="20" t="str">
        <x:v>Weekly</x:v>
      </x:c>
    </x:row>
    <x:row r="25" ht="42" customHeight="1">
      <x:c r="A25" s="20" t="str">
        <x:v>GitHub Changelog</x:v>
      </x:c>
      <x:c r="B25" s="20" t="str">
        <x:v>Platform changelog</x:v>
      </x:c>
      <x:c r="C25" s="20" t="str">
        <x:v>A</x:v>
      </x:c>
      <x:c r="D25" s="20" t="str">
        <x:v>repository automation, Actions, security</x:v>
      </x:c>
      <x:c r="E25" s="32" t="str">
        <x:v>https://github.blog/changelog/</x:v>
      </x:c>
      <x:c r="F25" s="20" t="str">
        <x:v>RSS</x:v>
      </x:c>
      <x:c r="G25" s="20" t="str">
        <x:v>Daily</x:v>
      </x:c>
    </x:row>
    <x:row r="26" ht="42" customHeight="1">
      <x:c r="A26" s="20" t="str">
        <x:v>LangGraph</x:v>
      </x:c>
      <x:c r="B26" s="20" t="str">
        <x:v>Repository</x:v>
      </x:c>
      <x:c r="C26" s="20" t="str">
        <x:v>A</x:v>
      </x:c>
      <x:c r="D26" s="20" t="str">
        <x:v>stateful agents, durable execution</x:v>
      </x:c>
      <x:c r="E26" s="32" t="str">
        <x:v>https://github.com/langchain-ai/langgraph</x:v>
      </x:c>
      <x:c r="F26" s="20" t="str">
        <x:v>GitHub API</x:v>
      </x:c>
      <x:c r="G26" s="20" t="str">
        <x:v>Hourly</x:v>
      </x:c>
    </x:row>
    <x:row r="27" ht="42" customHeight="1">
      <x:c r="A27" s="20" t="str">
        <x:v>LlamaIndex</x:v>
      </x:c>
      <x:c r="B27" s="20" t="str">
        <x:v>Repository</x:v>
      </x:c>
      <x:c r="C27" s="20" t="str">
        <x:v>A</x:v>
      </x:c>
      <x:c r="D27" s="20" t="str">
        <x:v>data agents, RAG, workflows</x:v>
      </x:c>
      <x:c r="E27" s="32" t="str">
        <x:v>https://github.com/run-llama/llama_index</x:v>
      </x:c>
      <x:c r="F27" s="20" t="str">
        <x:v>GitHub API</x:v>
      </x:c>
      <x:c r="G27" s="20" t="str">
        <x:v>Daily</x:v>
      </x:c>
    </x:row>
    <x:row r="28" ht="42" customHeight="1">
      <x:c r="A28" s="20" t="str">
        <x:v>CrewAI</x:v>
      </x:c>
      <x:c r="B28" s="20" t="str">
        <x:v>Repository</x:v>
      </x:c>
      <x:c r="C28" s="20" t="str">
        <x:v>A</x:v>
      </x:c>
      <x:c r="D28" s="20" t="str">
        <x:v>multi-agent orchestration and flows</x:v>
      </x:c>
      <x:c r="E28" s="32" t="str">
        <x:v>https://github.com/crewAIInc/crewAI</x:v>
      </x:c>
      <x:c r="F28" s="20" t="str">
        <x:v>GitHub API</x:v>
      </x:c>
      <x:c r="G28" s="20" t="str">
        <x:v>Daily</x:v>
      </x:c>
    </x:row>
    <x:row r="29" ht="42" customHeight="1">
      <x:c r="A29" s="20" t="str">
        <x:v>AutoGen</x:v>
      </x:c>
      <x:c r="B29" s="20" t="str">
        <x:v>Repository</x:v>
      </x:c>
      <x:c r="C29" s="20" t="str">
        <x:v>A</x:v>
      </x:c>
      <x:c r="D29" s="20" t="str">
        <x:v>multi-agent systems and conversations</x:v>
      </x:c>
      <x:c r="E29" s="32" t="str">
        <x:v>https://github.com/microsoft/autogen</x:v>
      </x:c>
      <x:c r="F29" s="20" t="str">
        <x:v>GitHub API</x:v>
      </x:c>
      <x:c r="G29" s="20" t="str">
        <x:v>Daily</x:v>
      </x:c>
    </x:row>
    <x:row r="30" ht="42" customHeight="1">
      <x:c r="A30" s="20" t="str">
        <x:v>Letta</x:v>
      </x:c>
      <x:c r="B30" s="20" t="str">
        <x:v>Repository</x:v>
      </x:c>
      <x:c r="C30" s="20" t="str">
        <x:v>A</x:v>
      </x:c>
      <x:c r="D30" s="20" t="str">
        <x:v>stateful agents and memory</x:v>
      </x:c>
      <x:c r="E30" s="32" t="str">
        <x:v>https://github.com/letta-ai/letta</x:v>
      </x:c>
      <x:c r="F30" s="20" t="str">
        <x:v>GitHub API</x:v>
      </x:c>
      <x:c r="G30" s="20" t="str">
        <x:v>Daily</x:v>
      </x:c>
    </x:row>
    <x:row r="31" ht="42" customHeight="1">
      <x:c r="A31" s="20" t="str">
        <x:v>Mem0</x:v>
      </x:c>
      <x:c r="B31" s="20" t="str">
        <x:v>Repository</x:v>
      </x:c>
      <x:c r="C31" s="20" t="str">
        <x:v>A</x:v>
      </x:c>
      <x:c r="D31" s="20" t="str">
        <x:v>agent memory and personalization</x:v>
      </x:c>
      <x:c r="E31" s="32" t="str">
        <x:v>https://github.com/mem0ai/mem0</x:v>
      </x:c>
      <x:c r="F31" s="20" t="str">
        <x:v>GitHub API</x:v>
      </x:c>
      <x:c r="G31" s="20" t="str">
        <x:v>Daily</x:v>
      </x:c>
    </x:row>
    <x:row r="32" ht="42" customHeight="1">
      <x:c r="A32" s="20" t="str">
        <x:v>Zep</x:v>
      </x:c>
      <x:c r="B32" s="20" t="str">
        <x:v>Product/repositories</x:v>
      </x:c>
      <x:c r="C32" s="20" t="str">
        <x:v>A/B</x:v>
      </x:c>
      <x:c r="D32" s="20" t="str">
        <x:v>temporal knowledge graphs and memory</x:v>
      </x:c>
      <x:c r="E32" s="32" t="str">
        <x:v>https://github.com/getzep</x:v>
      </x:c>
      <x:c r="F32" s="20" t="str">
        <x:v>GitHub API</x:v>
      </x:c>
      <x:c r="G32" s="20" t="str">
        <x:v>Daily</x:v>
      </x:c>
    </x:row>
    <x:row r="33" ht="42" customHeight="1">
      <x:c r="A33" s="20" t="str">
        <x:v>PydanticAI</x:v>
      </x:c>
      <x:c r="B33" s="20" t="str">
        <x:v>Repository</x:v>
      </x:c>
      <x:c r="C33" s="20" t="str">
        <x:v>A</x:v>
      </x:c>
      <x:c r="D33" s="20" t="str">
        <x:v>typed agents, evals, MCP, observability</x:v>
      </x:c>
      <x:c r="E33" s="32" t="str">
        <x:v>https://github.com/pydantic/pydantic-ai</x:v>
      </x:c>
      <x:c r="F33" s="20" t="str">
        <x:v>GitHub API</x:v>
      </x:c>
      <x:c r="G33" s="20" t="str">
        <x:v>Daily</x:v>
      </x:c>
    </x:row>
    <x:row r="34" ht="42" customHeight="1">
      <x:c r="A34" s="20" t="str">
        <x:v>DSPy</x:v>
      </x:c>
      <x:c r="B34" s="20" t="str">
        <x:v>Repository/docs</x:v>
      </x:c>
      <x:c r="C34" s="20" t="str">
        <x:v>A</x:v>
      </x:c>
      <x:c r="D34" s="20" t="str">
        <x:v>LM program optimization and evaluation</x:v>
      </x:c>
      <x:c r="E34" s="32" t="str">
        <x:v>https://github.com/stanfordnlp/dspy</x:v>
      </x:c>
      <x:c r="F34" s="20" t="str">
        <x:v>GitHub API</x:v>
      </x:c>
      <x:c r="G34" s="20" t="str">
        <x:v>Daily</x:v>
      </x:c>
    </x:row>
    <x:row r="35" ht="42" customHeight="1">
      <x:c r="A35" s="20" t="str">
        <x:v>OpenHands</x:v>
      </x:c>
      <x:c r="B35" s="20" t="str">
        <x:v>Repository</x:v>
      </x:c>
      <x:c r="C35" s="20" t="str">
        <x:v>A</x:v>
      </x:c>
      <x:c r="D35" s="20" t="str">
        <x:v>open-source coding agents and benchmarks</x:v>
      </x:c>
      <x:c r="E35" s="32" t="str">
        <x:v>https://github.com/All-Hands-AI/OpenHands</x:v>
      </x:c>
      <x:c r="F35" s="20" t="str">
        <x:v>GitHub API</x:v>
      </x:c>
      <x:c r="G35" s="20" t="str">
        <x:v>Hourly</x:v>
      </x:c>
    </x:row>
    <x:row r="36" ht="42" customHeight="1">
      <x:c r="A36" s="20" t="str">
        <x:v>Hermes Agent</x:v>
      </x:c>
      <x:c r="B36" s="20" t="str">
        <x:v>Repository</x:v>
      </x:c>
      <x:c r="C36" s="20" t="str">
        <x:v>A</x:v>
      </x:c>
      <x:c r="D36" s="20" t="str">
        <x:v>local/open-model agents</x:v>
      </x:c>
      <x:c r="E36" s="32" t="str">
        <x:v>https://github.com/NousResearch/hermes-agent</x:v>
      </x:c>
      <x:c r="F36" s="20" t="str">
        <x:v>GitHub API</x:v>
      </x:c>
      <x:c r="G36" s="20" t="str">
        <x:v>Hourly</x:v>
      </x:c>
    </x:row>
    <x:row r="37" ht="42" customHeight="1">
      <x:c r="A37" s="20" t="str">
        <x:v>OpenClaw</x:v>
      </x:c>
      <x:c r="B37" s="20" t="str">
        <x:v>Repository</x:v>
      </x:c>
      <x:c r="C37" s="20" t="str">
        <x:v>A</x:v>
      </x:c>
      <x:c r="D37" s="20" t="str">
        <x:v>local persistent assistants and integrations</x:v>
      </x:c>
      <x:c r="E37" s="32" t="str">
        <x:v>https://github.com/openclaw/openclaw</x:v>
      </x:c>
      <x:c r="F37" s="20" t="str">
        <x:v>GitHub API</x:v>
      </x:c>
      <x:c r="G37" s="20" t="str">
        <x:v>Hourly</x:v>
      </x:c>
    </x:row>
    <x:row r="38" ht="42" customHeight="1">
      <x:c r="A38" s="20" t="str">
        <x:v>Cursor Changelog</x:v>
      </x:c>
      <x:c r="B38" s="20" t="str">
        <x:v>Product changelog</x:v>
      </x:c>
      <x:c r="C38" s="20" t="str">
        <x:v>A/B</x:v>
      </x:c>
      <x:c r="D38" s="20" t="str">
        <x:v>AI IDE and coding agents</x:v>
      </x:c>
      <x:c r="E38" s="32" t="str">
        <x:v>https://www.cursor.com/changelog</x:v>
      </x:c>
      <x:c r="F38" s="20" t="str">
        <x:v>Site diff</x:v>
      </x:c>
      <x:c r="G38" s="20" t="str">
        <x:v>Daily</x:v>
      </x:c>
    </x:row>
    <x:row r="39" ht="42" customHeight="1">
      <x:c r="A39" s="20" t="str">
        <x:v>Cognition Blog</x:v>
      </x:c>
      <x:c r="B39" s="20" t="str">
        <x:v>Official product/engineering</x:v>
      </x:c>
      <x:c r="C39" s="20" t="str">
        <x:v>A/B</x:v>
      </x:c>
      <x:c r="D39" s="20" t="str">
        <x:v>Devin and software agents</x:v>
      </x:c>
      <x:c r="E39" s="32" t="str">
        <x:v>https://cognition.ai/blog</x:v>
      </x:c>
      <x:c r="F39" s="20" t="str">
        <x:v>RSS/site diff</x:v>
      </x:c>
      <x:c r="G39" s="20" t="str">
        <x:v>Daily</x:v>
      </x:c>
    </x:row>
    <x:row r="40" ht="42" customHeight="1">
      <x:c r="A40" s="20" t="str">
        <x:v>Replit Blog</x:v>
      </x:c>
      <x:c r="B40" s="20" t="str">
        <x:v>Official product/engineering</x:v>
      </x:c>
      <x:c r="C40" s="20" t="str">
        <x:v>A/B</x:v>
      </x:c>
      <x:c r="D40" s="20" t="str">
        <x:v>coding agents and cloud workspaces</x:v>
      </x:c>
      <x:c r="E40" s="32" t="str">
        <x:v>https://blog.replit.com/</x:v>
      </x:c>
      <x:c r="F40" s="20" t="str">
        <x:v>RSS</x:v>
      </x:c>
      <x:c r="G40" s="20" t="str">
        <x:v>Daily</x:v>
      </x:c>
    </x:row>
    <x:row r="41" ht="42" customHeight="1">
      <x:c r="A41" s="20" t="str">
        <x:v>Browserbase Stagehand</x:v>
      </x:c>
      <x:c r="B41" s="20" t="str">
        <x:v>Repository</x:v>
      </x:c>
      <x:c r="C41" s="20" t="str">
        <x:v>A</x:v>
      </x:c>
      <x:c r="D41" s="20" t="str">
        <x:v>browser-agent execution and observability</x:v>
      </x:c>
      <x:c r="E41" s="32" t="str">
        <x:v>https://github.com/browserbase/stagehand</x:v>
      </x:c>
      <x:c r="F41" s="20" t="str">
        <x:v>GitHub API</x:v>
      </x:c>
      <x:c r="G41" s="20" t="str">
        <x:v>Daily</x:v>
      </x:c>
    </x:row>
    <x:row r="42" ht="42" customHeight="1">
      <x:c r="A42" s="20" t="str">
        <x:v>Simon Willison</x:v>
      </x:c>
      <x:c r="B42" s="20" t="str">
        <x:v>Technical blog/RSS</x:v>
      </x:c>
      <x:c r="C42" s="20" t="str">
        <x:v>B/C</x:v>
      </x:c>
      <x:c r="D42" s="20" t="str">
        <x:v>LLM tools, agents, security, releases</x:v>
      </x:c>
      <x:c r="E42" s="32" t="str">
        <x:v>https://simonwillison.net/</x:v>
      </x:c>
      <x:c r="F42" s="20" t="str">
        <x:v>RSS</x:v>
      </x:c>
      <x:c r="G42" s="20" t="str">
        <x:v>Daily</x:v>
      </x:c>
    </x:row>
    <x:row r="43" ht="42" customHeight="1">
      <x:c r="A43" s="20" t="str">
        <x:v>Latent Space</x:v>
      </x:c>
      <x:c r="B43" s="20" t="str">
        <x:v>Newsletter/podcast</x:v>
      </x:c>
      <x:c r="C43" s="20" t="str">
        <x:v>C</x:v>
      </x:c>
      <x:c r="D43" s="20" t="str">
        <x:v>AI engineering, agents, builders</x:v>
      </x:c>
      <x:c r="E43" s="32" t="str">
        <x:v>https://www.latent.space/</x:v>
      </x:c>
      <x:c r="F43" s="20" t="str">
        <x:v>RSS</x:v>
      </x:c>
      <x:c r="G43" s="20" t="str">
        <x:v>On publication</x:v>
      </x:c>
    </x:row>
    <x:row r="44" ht="42" customHeight="1">
      <x:c r="A44" s="20" t="str">
        <x:v>Interconnects</x:v>
      </x:c>
      <x:c r="B44" s="20" t="str">
        <x:v>Newsletter</x:v>
      </x:c>
      <x:c r="C44" s="20" t="str">
        <x:v>C</x:v>
      </x:c>
      <x:c r="D44" s="20" t="str">
        <x:v>post-training, open models, research</x:v>
      </x:c>
      <x:c r="E44" s="32" t="str">
        <x:v>https://www.interconnects.ai/</x:v>
      </x:c>
      <x:c r="F44" s="20" t="str">
        <x:v>RSS</x:v>
      </x:c>
      <x:c r="G44" s="20" t="str">
        <x:v>On publication</x:v>
      </x:c>
    </x:row>
    <x:row r="45" ht="42" customHeight="1">
      <x:c r="A45" s="20" t="str">
        <x:v>Import AI</x:v>
      </x:c>
      <x:c r="B45" s="20" t="str">
        <x:v>Newsletter</x:v>
      </x:c>
      <x:c r="C45" s="20" t="str">
        <x:v>C</x:v>
      </x:c>
      <x:c r="D45" s="20" t="str">
        <x:v>research and strategic implications</x:v>
      </x:c>
      <x:c r="E45" s="32" t="str">
        <x:v>https://jack-clark.net/</x:v>
      </x:c>
      <x:c r="F45" s="20" t="str">
        <x:v>RSS</x:v>
      </x:c>
      <x:c r="G45" s="20" t="str">
        <x:v>Weekly</x:v>
      </x:c>
    </x:row>
    <x:row r="46" ht="42" customHeight="1">
      <x:c r="A46" s="20" t="str">
        <x:v>The Batch</x:v>
      </x:c>
      <x:c r="B46" s="20" t="str">
        <x:v>Newsletter</x:v>
      </x:c>
      <x:c r="C46" s="20" t="str">
        <x:v>C</x:v>
      </x:c>
      <x:c r="D46" s="20" t="str">
        <x:v>curated AI research and industry updates</x:v>
      </x:c>
      <x:c r="E46" s="32" t="str">
        <x:v>https://www.deeplearning.ai/the-batch/</x:v>
      </x:c>
      <x:c r="F46" s="20" t="str">
        <x:v>RSS</x:v>
      </x:c>
      <x:c r="G46" s="20" t="str">
        <x:v>Weekly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757efba3ade44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4" customHeight="1">
      <x:c r="A1" s="5" t="str">
        <x:v>AI intelligence registry: 100 technical players + channel and X-mining system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48" customHeight="1">
      <x:c r="A3" s="37" t="str">
        <x:v>Purpose: seed an orchestrator with people and channels that produce implementation-grade signal. This is a dated operating registry, not a permanent popularity ranking. Reverify affiliations and X identities; use social posts for discovery and primary artifacts for evidence.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5">
      <x:c r="A5" s="13" t="str">
        <x:v>Registry KPI</x:v>
      </x:c>
      <x:c r="B5" s="13" t="str">
        <x:v>Value</x:v>
      </x:c>
      <x:c r="D5" s="51" t="str">
        <x:v>Operating rules</x:v>
      </x:c>
      <x:c r="E5" s="51" t="str"/>
      <x:c r="F5" s="51" t="str"/>
      <x:c r="G5" s="51" t="str"/>
      <x:c r="H5" s="51" t="str"/>
      <x:c r="I5" s="51" t="str"/>
      <x:c r="J5" s="51" t="str"/>
      <x:c r="K5" s="51" t="str"/>
    </x:row>
    <x:row r="6" ht="38" customHeight="1">
      <x:c r="A6" s="44" t="str">
        <x:v>People in registry</x:v>
      </x:c>
      <x:c r="B6" s="26" t="n">
        <x:f>COUNTA(People_100!E2:E101)</x:f>
        <x:v>100</x:v>
      </x:c>
      <x:c r="D6" s="44" t="str">
        <x:v>1</x:v>
      </x:c>
      <x:c r="E6" s="20" t="str">
        <x:v>X is an early-signal graph, not the source of truth.</x:v>
      </x:c>
      <x:c r="F6" s="20" t="str"/>
      <x:c r="G6" s="20" t="str"/>
      <x:c r="H6" s="20" t="str"/>
      <x:c r="I6" s="20" t="str"/>
      <x:c r="J6" s="20" t="str"/>
      <x:c r="K6" s="20" t="str"/>
    </x:row>
    <x:row r="7" ht="38" customHeight="1">
      <x:c r="A7" s="44" t="str">
        <x:v>T1 people</x:v>
      </x:c>
      <x:c r="B7" s="26" t="n">
        <x:f>COUNTIF(People_100!C2:C101,"T1")</x:f>
        <x:v>29</x:v>
      </x:c>
      <x:c r="D7" s="44" t="str">
        <x:v>2</x:v>
      </x:c>
      <x:c r="E7" s="20" t="str">
        <x:v>Prioritize authors, maintainers, reviewers and repeat high-signal repliers over follower count.</x:v>
      </x:c>
      <x:c r="F7" s="20" t="str"/>
      <x:c r="G7" s="20" t="str"/>
      <x:c r="H7" s="20" t="str"/>
      <x:c r="I7" s="20" t="str"/>
      <x:c r="J7" s="20" t="str"/>
      <x:c r="K7" s="20" t="str"/>
    </x:row>
    <x:row r="8" ht="38" customHeight="1">
      <x:c r="A8" s="44" t="str">
        <x:v>Direct builders</x:v>
      </x:c>
      <x:c r="B8" s="26" t="n">
        <x:f>COUNTIF(People_100!I2:I101,"Yes")</x:f>
        <x:v>77</x:v>
      </x:c>
      <x:c r="D8" s="44" t="str">
        <x:v>3</x:v>
      </x:c>
      <x:c r="E8" s="20" t="str">
        <x:v>A claim becomes actionable only after primary-source verification or a reproducible experiment.</x:v>
      </x:c>
      <x:c r="F8" s="20" t="str"/>
      <x:c r="G8" s="20" t="str"/>
      <x:c r="H8" s="20" t="str"/>
      <x:c r="I8" s="20" t="str"/>
      <x:c r="J8" s="20" t="str"/>
      <x:c r="K8" s="20" t="str"/>
    </x:row>
    <x:row r="9" ht="38" customHeight="1">
      <x:c r="A9" s="44" t="str">
        <x:v>Resolved/high-confidence X handles</x:v>
      </x:c>
      <x:c r="B9" s="26" t="n">
        <x:f>COUNTIF(People_100!L2:L101,"Verified")+COUNTIF(People_100!L2:L101,"High-confidence handle")</x:f>
        <x:v>46</x:v>
      </x:c>
      <x:c r="D9" s="44" t="str">
        <x:v>4</x:v>
      </x:c>
      <x:c r="E9" s="20" t="str">
        <x:v>Track IDs, affiliations, timestamps, content hashes and contradictory evidence.</x:v>
      </x:c>
      <x:c r="F9" s="20" t="str"/>
      <x:c r="G9" s="20" t="str"/>
      <x:c r="H9" s="20" t="str"/>
      <x:c r="I9" s="20" t="str"/>
      <x:c r="J9" s="20" t="str"/>
      <x:c r="K9" s="20" t="str"/>
    </x:row>
    <x:row r="10" ht="38" customHeight="1">
      <x:c r="A10" s="44" t="str">
        <x:v>Signal channels</x:v>
      </x:c>
      <x:c r="B10" s="26" t="n">
        <x:f>COUNTA(Channels!B4:B23)</x:f>
        <x:v>20</x:v>
      </x:c>
      <x:c r="D10" s="44" t="str">
        <x:v>5</x:v>
      </x:c>
      <x:c r="E10" s="20" t="str">
        <x:v>Never let external text directly control shell, filesystem, GitHub or deployment tools.</x:v>
      </x:c>
      <x:c r="F10" s="20" t="str"/>
      <x:c r="G10" s="20" t="str"/>
      <x:c r="H10" s="20" t="str"/>
      <x:c r="I10" s="20" t="str"/>
      <x:c r="J10" s="20" t="str"/>
      <x:c r="K10" s="20" t="str"/>
    </x:row>
    <x:row r="11">
      <x:c r="A11" s="44" t="str">
        <x:v>Source seeds</x:v>
      </x:c>
      <x:c r="B11" s="26" t="n">
        <x:f>COUNTA(Source_Seeds!A4:A46)</x:f>
        <x:v>43</x:v>
      </x:c>
    </x:row>
    <x:row r="14">
      <x:c r="A14" s="13" t="str">
        <x:v>Registry group</x:v>
      </x:c>
      <x:c r="B14" s="13" t="str">
        <x:v>People</x:v>
      </x:c>
    </x:row>
    <x:row r="15">
      <x:c r="A15" s="44" t="str">
        <x:v>OpenAI / Codex</x:v>
      </x:c>
      <x:c r="B15" s="20" t="n">
        <x:f>COUNTIF(People_100!$D$2:$D$101,A15)</x:f>
        <x:v>12</x:v>
      </x:c>
    </x:row>
    <x:row r="16">
      <x:c r="A16" s="44" t="str">
        <x:v>Anthropic / Claude</x:v>
      </x:c>
      <x:c r="B16" s="20" t="n">
        <x:f>COUNTIF(People_100!$D$2:$D$101,A16)</x:f>
        <x:v>15</x:v>
      </x:c>
    </x:row>
    <x:row r="17">
      <x:c r="A17" s="44" t="str">
        <x:v>Google / DeepMind</x:v>
      </x:c>
      <x:c r="B17" s="20" t="n">
        <x:f>COUNTIF(People_100!$D$2:$D$101,A17)</x:f>
        <x:v>10</x:v>
      </x:c>
    </x:row>
    <x:row r="18">
      <x:c r="A18" s="44" t="str">
        <x:v>Meta agent research</x:v>
      </x:c>
      <x:c r="B18" s="20" t="n">
        <x:f>COUNTIF(People_100!$D$2:$D$101,A18)</x:f>
        <x:v>8</x:v>
      </x:c>
    </x:row>
    <x:row r="19">
      <x:c r="A19" s="44" t="str">
        <x:v>Thinking Machines</x:v>
      </x:c>
      <x:c r="B19" s="20" t="n">
        <x:f>COUNTIF(People_100!$D$2:$D$101,A19)</x:f>
        <x:v>5</x:v>
      </x:c>
    </x:row>
    <x:row r="20">
      <x:c r="A20" s="44" t="str">
        <x:v>Other labs / infrastructure</x:v>
      </x:c>
      <x:c r="B20" s="20" t="n">
        <x:f>COUNTIF(People_100!$D$2:$D$101,A20)</x:f>
        <x:v>8</x:v>
      </x:c>
    </x:row>
    <x:row r="21">
      <x:c r="A21" s="44" t="str">
        <x:v>Frameworks / memory / OSS</x:v>
      </x:c>
      <x:c r="B21" s="20" t="n">
        <x:f>COUNTIF(People_100!$D$2:$D$101,A21)</x:f>
        <x:v>28</x:v>
      </x:c>
    </x:row>
    <x:row r="22">
      <x:c r="A22" s="44" t="str">
        <x:v>Coding-agent companies</x:v>
      </x:c>
      <x:c r="B22" s="20" t="n">
        <x:f>COUNTIF(People_100!$D$2:$D$101,A22)</x:f>
        <x:v>8</x:v>
      </x:c>
    </x:row>
    <x:row r="23">
      <x:c r="A23" s="44" t="str">
        <x:v>Independent technical filters</x:v>
      </x:c>
      <x:c r="B23" s="20" t="n">
        <x:f>COUNTIF(People_100!$D$2:$D$101,A23)</x:f>
        <x:v>6</x:v>
      </x:c>
    </x:row>
    <x:row r="27" ht="24" customHeight="1">
      <x:c r="A27" s="51" t="str">
        <x:v>Recommended monitoring cadence</x:v>
      </x:c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</x:row>
    <x:row r="28" ht="42" customHeight="1">
      <x:c r="A28" s="44" t="str">
        <x:v>Near real-time</x:v>
      </x:c>
      <x:c r="B28" s="56" t="str">
        <x:v>Tier-1 repo releases, critical changelogs, major root posts</x:v>
      </x:c>
      <x:c r="C28" s="56" t="str"/>
      <x:c r="D28" s="56" t="str"/>
      <x:c r="E28" s="56" t="str"/>
      <x:c r="F28" s="56" t="str"/>
      <x:c r="G28" s="56" t="str"/>
      <x:c r="H28" s="56" t="str"/>
      <x:c r="I28" s="56" t="str"/>
      <x:c r="J28" s="56" t="str"/>
      <x:c r="K28" s="56" t="str"/>
    </x:row>
    <x:row r="29" ht="42" customHeight="1">
      <x:c r="A29" s="44" t="str">
        <x:v>Daily</x:v>
      </x:c>
      <x:c r="B29" s="56" t="str">
        <x:v>Official engineering blogs, papers, source diffs, priority issues/PRs</x:v>
      </x:c>
      <x:c r="C29" s="56" t="str"/>
      <x:c r="D29" s="56" t="str"/>
      <x:c r="E29" s="56" t="str"/>
      <x:c r="F29" s="56" t="str"/>
      <x:c r="G29" s="56" t="str"/>
      <x:c r="H29" s="56" t="str"/>
      <x:c r="I29" s="56" t="str"/>
      <x:c r="J29" s="56" t="str"/>
      <x:c r="K29" s="56" t="str"/>
    </x:row>
    <x:row r="30" ht="42" customHeight="1">
      <x:c r="A30" s="44" t="str">
        <x:v>Weekly</x:v>
      </x:c>
      <x:c r="B30" s="56" t="str">
        <x:v>Synthesis, source-quality review, expert-graph expansion</x:v>
      </x:c>
      <x:c r="C30" s="56" t="str"/>
      <x:c r="D30" s="56" t="str"/>
      <x:c r="E30" s="56" t="str"/>
      <x:c r="F30" s="56" t="str"/>
      <x:c r="G30" s="56" t="str"/>
      <x:c r="H30" s="56" t="str"/>
      <x:c r="I30" s="56" t="str"/>
      <x:c r="J30" s="56" t="str"/>
      <x:c r="K30" s="56" t="str"/>
    </x:row>
    <x:row r="31" ht="42" customHeight="1">
      <x:c r="A31" s="44" t="str">
        <x:v>Monthly</x:v>
      </x:c>
      <x:c r="B31" s="56" t="str">
        <x:v>Affiliation/identity refresh, source pruning, score recalibration</x:v>
      </x:c>
      <x:c r="C31" s="56" t="str"/>
      <x:c r="D31" s="56" t="str"/>
      <x:c r="E31" s="56" t="str"/>
      <x:c r="F31" s="56" t="str"/>
      <x:c r="G31" s="56" t="str"/>
      <x:c r="H31" s="56" t="str"/>
      <x:c r="I31" s="56" t="str"/>
      <x:c r="J31" s="56" t="str"/>
      <x:c r="K31" s="56" t="str"/>
    </x:row>
    <x:row r="32" ht="42" customHeight="1">
      <x:c r="A32" s="44" t="str">
        <x:v>Quarterly</x:v>
      </x:c>
      <x:c r="B32" s="56" t="str">
        <x:v>Rebuild the 100-person registry from contributor, author and reply graphs</x:v>
      </x:c>
      <x:c r="C32" s="56" t="str"/>
      <x:c r="D32" s="56" t="str"/>
      <x:c r="E32" s="56" t="str"/>
      <x:c r="F32" s="56" t="str"/>
      <x:c r="G32" s="56" t="str"/>
      <x:c r="H32" s="56" t="str"/>
      <x:c r="I32" s="56" t="str"/>
      <x:c r="J32" s="56" t="str"/>
      <x:c r="K32" s="56" t="str"/>
    </x:row>
  </x:sheetData>
  <x:mergeCells>
    <x:mergeCell ref="A1:K1"/>
    <x:mergeCell ref="A3:K3"/>
    <x:mergeCell ref="D5:K5"/>
    <x:mergeCell ref="E6:K6"/>
    <x:mergeCell ref="E7:K7"/>
    <x:mergeCell ref="E8:K8"/>
    <x:mergeCell ref="E9:K9"/>
    <x:mergeCell ref="E10:K10"/>
    <x:mergeCell ref="A27:K27"/>
    <x:mergeCell ref="B28:C28"/>
    <x:mergeCell ref="B29:C29"/>
    <x:mergeCell ref="B30:C30"/>
    <x:mergeCell ref="B31:C31"/>
    <x:mergeCell ref="B32:C32"/>
  </x:mergeCells>
  <x:pageMargins left="0.7" right="0.7" top="0.75" bottom="0.75" header="0.3" footer="0.3"/>
  <x:drawing xmlns:r="http://schemas.openxmlformats.org/officeDocument/2006/relationships" r:id="Rbd23f42cc04544cf"/>
</x:worksheet>
</file>